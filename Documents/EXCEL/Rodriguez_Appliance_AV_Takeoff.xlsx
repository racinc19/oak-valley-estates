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liances" sheetId="2" state="visible" r:id="rId2"/>
    <sheet xmlns:r="http://schemas.openxmlformats.org/officeDocument/2006/relationships" name="Outdoor-BBQ" sheetId="3" state="visible" r:id="rId3"/>
    <sheet xmlns:r="http://schemas.openxmlformats.org/officeDocument/2006/relationships" name="Blinds &amp; Shades" sheetId="4" state="visible" r:id="rId4"/>
    <sheet xmlns:r="http://schemas.openxmlformats.org/officeDocument/2006/relationships" name="AV &amp; Auto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#,##0.0"/>
  </numFmts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i val="1"/>
      <sz val="10"/>
    </font>
    <font>
      <sz val="10"/>
    </font>
    <font>
      <b val="1"/>
      <color rgb="00FFFFFF"/>
      <sz val="11"/>
    </font>
    <font>
      <b val="1"/>
      <color rgb="00FFFFFF"/>
      <sz val="13"/>
    </font>
    <font>
      <b val="1"/>
      <color rgb="00375623"/>
      <sz val="10"/>
    </font>
    <font>
      <i val="1"/>
      <color rgb="007F6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2E405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7" fillId="7" borderId="1" applyAlignment="1" pivotButton="0" quotePrefix="0" xfId="0">
      <alignment vertical="center" wrapText="1"/>
    </xf>
    <xf numFmtId="164" fontId="7" fillId="7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8" fillId="3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/>
    </xf>
    <xf numFmtId="165" fontId="4" fillId="5" borderId="1" applyAlignment="1" pivotButton="0" quotePrefix="0" xfId="0">
      <alignment vertical="center" wrapText="1"/>
    </xf>
    <xf numFmtId="165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0" customWidth="1" min="3" max="3"/>
  </cols>
  <sheetData>
    <row r="1" ht="28" customHeight="1">
      <c r="A1" s="1" t="inlineStr">
        <is>
          <t>RODRIGUEZ RESIDENCE — APPLIANCE &amp; AV TAKEOFF SUMMARY</t>
        </is>
      </c>
    </row>
    <row r="2">
      <c r="A2" s="2" t="inlineStr">
        <is>
          <t>Oak Valley Estates Lot 5  |  RAC Development  |  3/5/2026  |  Source: A111, A112, A900, E100</t>
        </is>
      </c>
    </row>
    <row r="3" ht="22" customHeight="1">
      <c r="A3" s="3" t="inlineStr">
        <is>
          <t>Section</t>
        </is>
      </c>
      <c r="B3" s="3" t="inlineStr">
        <is>
          <t>Total</t>
        </is>
      </c>
      <c r="C3" s="3" t="inlineStr">
        <is>
          <t>Notes</t>
        </is>
      </c>
    </row>
    <row r="4" ht="20" customHeight="1">
      <c r="A4" s="4" t="inlineStr">
        <is>
          <t>Appliances</t>
        </is>
      </c>
      <c r="B4" s="5">
        <f>'Appliances'!H23</f>
        <v/>
      </c>
      <c r="C4" s="4" t="inlineStr">
        <is>
          <t>A900 + E100 — see FLAG row re: Thermador vs Sub-Zero/Wolf</t>
        </is>
      </c>
    </row>
    <row r="5" ht="20" customHeight="1">
      <c r="A5" s="6" t="inlineStr">
        <is>
          <t>AV &amp; Automation</t>
        </is>
      </c>
      <c r="B5" s="7">
        <f>'AV &amp; Automation'!H23</f>
        <v/>
      </c>
      <c r="C5" s="6" t="inlineStr">
        <is>
          <t>A111 + A112 — projector model TBD</t>
        </is>
      </c>
    </row>
    <row r="6"/>
    <row r="7" ht="18" customHeight="1">
      <c r="A7" s="6" t="inlineStr">
        <is>
          <t>Outdoor-BBQ</t>
        </is>
      </c>
      <c r="B7" s="7">
        <f>'Outdoor-BBQ'!H13</f>
        <v/>
      </c>
      <c r="C7" s="6" t="inlineStr">
        <is>
          <t>Several TBD items — confirm with Craig</t>
        </is>
      </c>
    </row>
    <row r="8" ht="18" customHeight="1">
      <c r="A8" s="24" t="inlineStr">
        <is>
          <t>Blinds &amp; Shades</t>
        </is>
      </c>
      <c r="B8" s="5">
        <f>'Blinds &amp; Shades'!I23</f>
        <v/>
      </c>
      <c r="C8" s="25" t="inlineStr">
        <is>
          <t>Motors in AV tab; fabric/hardware/install only</t>
        </is>
      </c>
    </row>
    <row r="9">
      <c r="A9" s="8" t="inlineStr">
        <is>
          <t>GRAND TOTAL</t>
        </is>
      </c>
      <c r="B9" s="9">
        <f>SUM(B4:B8)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22" customWidth="1" min="4" max="4"/>
    <col width="5" customWidth="1" min="5" max="5"/>
    <col width="5" customWidth="1" min="6" max="6"/>
    <col width="12" customWidth="1" min="7" max="7"/>
    <col width="14" customWidth="1" min="8" max="8"/>
    <col width="18" customWidth="1" min="9" max="9"/>
    <col width="28" customWidth="1" min="10" max="10"/>
  </cols>
  <sheetData>
    <row r="1" ht="24" customHeight="1">
      <c r="A1" s="10" t="inlineStr">
        <is>
          <t>APPLIANCES</t>
        </is>
      </c>
    </row>
    <row r="2" ht="30" customHeight="1">
      <c r="A2" s="11" t="inlineStr">
        <is>
          <t>#</t>
        </is>
      </c>
      <c r="B2" s="11" t="inlineStr">
        <is>
          <t>Item / Description</t>
        </is>
      </c>
      <c r="C2" s="11" t="inlineStr">
        <is>
          <t>Manufacturer</t>
        </is>
      </c>
      <c r="D2" s="11" t="inlineStr">
        <is>
          <t>Model</t>
        </is>
      </c>
      <c r="E2" s="11" t="inlineStr">
        <is>
          <t>Qty</t>
        </is>
      </c>
      <c r="F2" s="11" t="inlineStr">
        <is>
          <t>Unit</t>
        </is>
      </c>
      <c r="G2" s="11" t="inlineStr">
        <is>
          <t>Unit Price</t>
        </is>
      </c>
      <c r="H2" s="11" t="inlineStr">
        <is>
          <t>Extended</t>
        </is>
      </c>
      <c r="I2" s="11" t="inlineStr">
        <is>
          <t>Location</t>
        </is>
      </c>
      <c r="J2" s="11" t="inlineStr">
        <is>
          <t>Notes</t>
        </is>
      </c>
    </row>
    <row r="3" ht="18" customHeight="1">
      <c r="A3" s="6" t="n">
        <v>1</v>
      </c>
      <c r="B3" s="6" t="inlineStr">
        <is>
          <t>36" Refrigerator Column Freedom</t>
        </is>
      </c>
      <c r="C3" s="6" t="inlineStr">
        <is>
          <t>Thermador</t>
        </is>
      </c>
      <c r="D3" s="6" t="inlineStr">
        <is>
          <t>T36IR905SP</t>
        </is>
      </c>
      <c r="E3" s="6" t="n">
        <v>1</v>
      </c>
      <c r="F3" s="6" t="inlineStr">
        <is>
          <t>ea</t>
        </is>
      </c>
      <c r="G3" s="16" t="n">
        <v>8200</v>
      </c>
      <c r="H3" s="16">
        <f>E3*G3</f>
        <v/>
      </c>
      <c r="I3" s="6" t="inlineStr">
        <is>
          <t>Main Kitchen</t>
        </is>
      </c>
      <c r="J3" s="6" t="inlineStr">
        <is>
          <t>E100 confirmed</t>
        </is>
      </c>
    </row>
    <row r="4" ht="18" customHeight="1">
      <c r="A4" s="4" t="n">
        <v>2</v>
      </c>
      <c r="B4" s="4" t="inlineStr">
        <is>
          <t>36" Freezer Column Freedom</t>
        </is>
      </c>
      <c r="C4" s="4" t="inlineStr">
        <is>
          <t>Thermador</t>
        </is>
      </c>
      <c r="D4" s="4" t="inlineStr">
        <is>
          <t>T36IF905SP</t>
        </is>
      </c>
      <c r="E4" s="4" t="n">
        <v>1</v>
      </c>
      <c r="F4" s="4" t="inlineStr">
        <is>
          <t>ea</t>
        </is>
      </c>
      <c r="G4" s="15" t="n">
        <v>7900</v>
      </c>
      <c r="H4" s="15">
        <f>E4*G4</f>
        <v/>
      </c>
      <c r="I4" s="4" t="inlineStr">
        <is>
          <t>Main Kitchen</t>
        </is>
      </c>
      <c r="J4" s="4" t="inlineStr">
        <is>
          <t>E100 confirmed</t>
        </is>
      </c>
    </row>
    <row r="5" ht="18" customHeight="1">
      <c r="A5" s="6" t="n">
        <v>3</v>
      </c>
      <c r="B5" s="6" t="inlineStr">
        <is>
          <t>Undercounter Ice Maker</t>
        </is>
      </c>
      <c r="C5" s="6" t="inlineStr">
        <is>
          <t>Thermador</t>
        </is>
      </c>
      <c r="D5" s="6" t="inlineStr">
        <is>
          <t>T18IW900SP</t>
        </is>
      </c>
      <c r="E5" s="6" t="n">
        <v>1</v>
      </c>
      <c r="F5" s="6" t="inlineStr">
        <is>
          <t>ea</t>
        </is>
      </c>
      <c r="G5" s="16" t="n">
        <v>3100</v>
      </c>
      <c r="H5" s="16">
        <f>E5*G5</f>
        <v/>
      </c>
      <c r="I5" s="6" t="inlineStr">
        <is>
          <t>Main Kitchen</t>
        </is>
      </c>
      <c r="J5" s="6" t="inlineStr">
        <is>
          <t>Confirm model</t>
        </is>
      </c>
    </row>
    <row r="6" ht="18" customHeight="1">
      <c r="A6" s="4" t="n">
        <v>4</v>
      </c>
      <c r="B6" s="4" t="inlineStr">
        <is>
          <t>Undercounter Beverage/Wine Center</t>
        </is>
      </c>
      <c r="C6" s="4" t="inlineStr">
        <is>
          <t>Thermador</t>
        </is>
      </c>
      <c r="D6" s="4" t="inlineStr">
        <is>
          <t>T24UW900SP</t>
        </is>
      </c>
      <c r="E6" s="4" t="n">
        <v>1</v>
      </c>
      <c r="F6" s="4" t="inlineStr">
        <is>
          <t>ea</t>
        </is>
      </c>
      <c r="G6" s="15" t="n">
        <v>2600</v>
      </c>
      <c r="H6" s="15">
        <f>E6*G6</f>
        <v/>
      </c>
      <c r="I6" s="4" t="inlineStr">
        <is>
          <t>Main Kitchen</t>
        </is>
      </c>
      <c r="J6" s="4" t="inlineStr">
        <is>
          <t>Confirm model</t>
        </is>
      </c>
    </row>
    <row r="7" ht="18" customHeight="1">
      <c r="A7" s="6" t="n">
        <v>5</v>
      </c>
      <c r="B7" s="6" t="inlineStr">
        <is>
          <t>36" Induction Cooktop</t>
        </is>
      </c>
      <c r="C7" s="6" t="inlineStr">
        <is>
          <t>Thermador</t>
        </is>
      </c>
      <c r="D7" s="6" t="inlineStr">
        <is>
          <t>CIT36YB</t>
        </is>
      </c>
      <c r="E7" s="6" t="n">
        <v>1</v>
      </c>
      <c r="F7" s="6" t="inlineStr">
        <is>
          <t>ea</t>
        </is>
      </c>
      <c r="G7" s="16" t="n">
        <v>4400</v>
      </c>
      <c r="H7" s="16">
        <f>E7*G7</f>
        <v/>
      </c>
      <c r="I7" s="6" t="inlineStr">
        <is>
          <t>Main Kitchen</t>
        </is>
      </c>
      <c r="J7" s="6" t="inlineStr">
        <is>
          <t>Confirm gas vs induction</t>
        </is>
      </c>
    </row>
    <row r="8" ht="18" customHeight="1">
      <c r="A8" s="4" t="n">
        <v>6</v>
      </c>
      <c r="B8" s="4" t="inlineStr">
        <is>
          <t>Range Hood 36"</t>
        </is>
      </c>
      <c r="C8" s="4" t="inlineStr">
        <is>
          <t>Thermador</t>
        </is>
      </c>
      <c r="D8" s="4" t="inlineStr">
        <is>
          <t>HMWB36FS</t>
        </is>
      </c>
      <c r="E8" s="4" t="n">
        <v>1</v>
      </c>
      <c r="F8" s="4" t="inlineStr">
        <is>
          <t>ea</t>
        </is>
      </c>
      <c r="G8" s="15" t="n">
        <v>1700</v>
      </c>
      <c r="H8" s="15">
        <f>E8*G8</f>
        <v/>
      </c>
      <c r="I8" s="4" t="inlineStr">
        <is>
          <t>Main Kitchen</t>
        </is>
      </c>
      <c r="J8" s="4" t="inlineStr"/>
    </row>
    <row r="9" ht="18" customHeight="1">
      <c r="A9" s="6" t="n">
        <v>7</v>
      </c>
      <c r="B9" s="6" t="inlineStr">
        <is>
          <t>Combination Microwave/Conv Oven 30"</t>
        </is>
      </c>
      <c r="C9" s="6" t="inlineStr">
        <is>
          <t>Thermador</t>
        </is>
      </c>
      <c r="D9" s="6" t="inlineStr">
        <is>
          <t>PODMCW31W</t>
        </is>
      </c>
      <c r="E9" s="6" t="n">
        <v>1</v>
      </c>
      <c r="F9" s="6" t="inlineStr">
        <is>
          <t>ea</t>
        </is>
      </c>
      <c r="G9" s="16" t="n">
        <v>4800</v>
      </c>
      <c r="H9" s="16">
        <f>E9*G9</f>
        <v/>
      </c>
      <c r="I9" s="6" t="inlineStr">
        <is>
          <t>Main Kitchen</t>
        </is>
      </c>
      <c r="J9" s="6" t="inlineStr">
        <is>
          <t>E100 confirmed</t>
        </is>
      </c>
    </row>
    <row r="10" ht="18" customHeight="1">
      <c r="A10" s="4" t="n">
        <v>8</v>
      </c>
      <c r="B10" s="4" t="inlineStr">
        <is>
          <t>Single Wall Oven 30"</t>
        </is>
      </c>
      <c r="C10" s="4" t="inlineStr">
        <is>
          <t>Thermador</t>
        </is>
      </c>
      <c r="D10" s="4" t="inlineStr">
        <is>
          <t>ME301WS</t>
        </is>
      </c>
      <c r="E10" s="4" t="n">
        <v>1</v>
      </c>
      <c r="F10" s="4" t="inlineStr">
        <is>
          <t>ea</t>
        </is>
      </c>
      <c r="G10" s="15" t="n">
        <v>3600</v>
      </c>
      <c r="H10" s="15">
        <f>E10*G10</f>
        <v/>
      </c>
      <c r="I10" s="4" t="inlineStr">
        <is>
          <t>Main Kitchen</t>
        </is>
      </c>
      <c r="J10" s="4" t="inlineStr">
        <is>
          <t>Confirm model</t>
        </is>
      </c>
    </row>
    <row r="11" ht="18" customHeight="1">
      <c r="A11" s="6" t="n">
        <v>9</v>
      </c>
      <c r="B11" s="6" t="inlineStr">
        <is>
          <t>Dishwasher 24" Panel-Ready</t>
        </is>
      </c>
      <c r="C11" s="6" t="inlineStr">
        <is>
          <t>Thermador</t>
        </is>
      </c>
      <c r="D11" s="6" t="inlineStr">
        <is>
          <t>DWHD870WFM</t>
        </is>
      </c>
      <c r="E11" s="6" t="n">
        <v>1</v>
      </c>
      <c r="F11" s="6" t="inlineStr">
        <is>
          <t>ea</t>
        </is>
      </c>
      <c r="G11" s="16" t="n">
        <v>1700</v>
      </c>
      <c r="H11" s="16">
        <f>E11*G11</f>
        <v/>
      </c>
      <c r="I11" s="6" t="inlineStr">
        <is>
          <t>Main Kitchen</t>
        </is>
      </c>
      <c r="J11" s="6" t="inlineStr"/>
    </row>
    <row r="12" ht="18" customHeight="1">
      <c r="A12" s="4" t="n">
        <v>10</v>
      </c>
      <c r="B12" s="4" t="inlineStr">
        <is>
          <t>Kitchen Sink — Undermount</t>
        </is>
      </c>
      <c r="C12" s="4" t="inlineStr">
        <is>
          <t>TBD</t>
        </is>
      </c>
      <c r="D12" s="4" t="inlineStr">
        <is>
          <t>TBD</t>
        </is>
      </c>
      <c r="E12" s="4" t="n">
        <v>1</v>
      </c>
      <c r="F12" s="4" t="inlineStr">
        <is>
          <t>ea</t>
        </is>
      </c>
      <c r="G12" s="15" t="n">
        <v>1200</v>
      </c>
      <c r="H12" s="15">
        <f>E12*G12</f>
        <v/>
      </c>
      <c r="I12" s="4" t="inlineStr">
        <is>
          <t>Main Kitchen</t>
        </is>
      </c>
      <c r="J12" s="4" t="inlineStr">
        <is>
          <t>Confirm brand/model</t>
        </is>
      </c>
    </row>
    <row r="13" ht="18" customHeight="1">
      <c r="A13" s="6" t="n">
        <v>11</v>
      </c>
      <c r="B13" s="6" t="inlineStr">
        <is>
          <t>Kitchen Faucet Pull-Down</t>
        </is>
      </c>
      <c r="C13" s="6" t="inlineStr">
        <is>
          <t>TBD</t>
        </is>
      </c>
      <c r="D13" s="6" t="inlineStr">
        <is>
          <t>TBD</t>
        </is>
      </c>
      <c r="E13" s="6" t="n">
        <v>1</v>
      </c>
      <c r="F13" s="6" t="inlineStr">
        <is>
          <t>ea</t>
        </is>
      </c>
      <c r="G13" s="16" t="n">
        <v>600</v>
      </c>
      <c r="H13" s="16">
        <f>E13*G13</f>
        <v/>
      </c>
      <c r="I13" s="6" t="inlineStr">
        <is>
          <t>Main Kitchen</t>
        </is>
      </c>
      <c r="J13" s="6" t="inlineStr">
        <is>
          <t>Confirm brand/model</t>
        </is>
      </c>
    </row>
    <row r="14" ht="18" customHeight="1">
      <c r="A14" s="4" t="n">
        <v>12</v>
      </c>
      <c r="B14" s="4" t="inlineStr">
        <is>
          <t>Washer/Dryer Stack</t>
        </is>
      </c>
      <c r="C14" s="4" t="inlineStr">
        <is>
          <t>LG</t>
        </is>
      </c>
      <c r="D14" s="4" t="inlineStr">
        <is>
          <t>WKE100HVA</t>
        </is>
      </c>
      <c r="E14" s="4" t="n">
        <v>1</v>
      </c>
      <c r="F14" s="4" t="inlineStr">
        <is>
          <t>ea</t>
        </is>
      </c>
      <c r="G14" s="15" t="n">
        <v>2400</v>
      </c>
      <c r="H14" s="15">
        <f>E14*G14</f>
        <v/>
      </c>
      <c r="I14" s="4" t="inlineStr">
        <is>
          <t>Laundry Lvl 12</t>
        </is>
      </c>
      <c r="J14" s="4" t="inlineStr">
        <is>
          <t>E100</t>
        </is>
      </c>
    </row>
    <row r="15" ht="18" customHeight="1">
      <c r="A15" s="6" t="n">
        <v>13</v>
      </c>
      <c r="B15" s="6" t="inlineStr">
        <is>
          <t>ADU Electric Range</t>
        </is>
      </c>
      <c r="C15" s="6" t="inlineStr">
        <is>
          <t>TBD</t>
        </is>
      </c>
      <c r="D15" s="6" t="inlineStr">
        <is>
          <t>TBD</t>
        </is>
      </c>
      <c r="E15" s="6" t="n">
        <v>1</v>
      </c>
      <c r="F15" s="6" t="inlineStr">
        <is>
          <t>ea</t>
        </is>
      </c>
      <c r="G15" s="16" t="n">
        <v>1200</v>
      </c>
      <c r="H15" s="16">
        <f>E19*G19</f>
        <v/>
      </c>
      <c r="I15" s="6" t="inlineStr">
        <is>
          <t>Basement ADU</t>
        </is>
      </c>
      <c r="J15" s="6" t="inlineStr">
        <is>
          <t>E100</t>
        </is>
      </c>
    </row>
    <row r="16" ht="18" customHeight="1">
      <c r="A16" s="4" t="n">
        <v>14</v>
      </c>
      <c r="B16" s="4" t="inlineStr">
        <is>
          <t>ADU Dishwasher</t>
        </is>
      </c>
      <c r="C16" s="4" t="inlineStr">
        <is>
          <t>TBD</t>
        </is>
      </c>
      <c r="D16" s="4" t="inlineStr">
        <is>
          <t>TBD</t>
        </is>
      </c>
      <c r="E16" s="4" t="n">
        <v>1</v>
      </c>
      <c r="F16" s="4" t="inlineStr">
        <is>
          <t>ea</t>
        </is>
      </c>
      <c r="G16" s="15" t="n">
        <v>700</v>
      </c>
      <c r="H16" s="15">
        <f>E20*G20</f>
        <v/>
      </c>
      <c r="I16" s="4" t="inlineStr">
        <is>
          <t>Basement ADU</t>
        </is>
      </c>
      <c r="J16" s="4" t="inlineStr">
        <is>
          <t>E100</t>
        </is>
      </c>
    </row>
    <row r="17" ht="18" customHeight="1">
      <c r="A17" s="6" t="n">
        <v>15</v>
      </c>
      <c r="B17" s="6" t="inlineStr">
        <is>
          <t>ADU Refrigerator/Freezer</t>
        </is>
      </c>
      <c r="C17" s="6" t="inlineStr">
        <is>
          <t>TBD</t>
        </is>
      </c>
      <c r="D17" s="6" t="inlineStr">
        <is>
          <t>TBD</t>
        </is>
      </c>
      <c r="E17" s="6" t="n">
        <v>1</v>
      </c>
      <c r="F17" s="6" t="inlineStr">
        <is>
          <t>ea</t>
        </is>
      </c>
      <c r="G17" s="16" t="n">
        <v>1400</v>
      </c>
      <c r="H17" s="16">
        <f>E21*G21</f>
        <v/>
      </c>
      <c r="I17" s="6" t="inlineStr">
        <is>
          <t>Basement ADU</t>
        </is>
      </c>
      <c r="J17" s="6" t="inlineStr">
        <is>
          <t>E100</t>
        </is>
      </c>
    </row>
    <row r="18" ht="18" customHeight="1">
      <c r="A18" s="4" t="n">
        <v>16</v>
      </c>
      <c r="B18" s="4" t="inlineStr">
        <is>
          <t>ADU Microwave/Hood Combo</t>
        </is>
      </c>
      <c r="C18" s="4" t="inlineStr">
        <is>
          <t>TBD</t>
        </is>
      </c>
      <c r="D18" s="4" t="inlineStr">
        <is>
          <t>TBD</t>
        </is>
      </c>
      <c r="E18" s="4" t="n">
        <v>1</v>
      </c>
      <c r="F18" s="4" t="inlineStr">
        <is>
          <t>ea</t>
        </is>
      </c>
      <c r="G18" s="15" t="n">
        <v>500</v>
      </c>
      <c r="H18" s="15">
        <f>E22*G22</f>
        <v/>
      </c>
      <c r="I18" s="4" t="inlineStr">
        <is>
          <t>Basement ADU</t>
        </is>
      </c>
      <c r="J18" s="4" t="inlineStr">
        <is>
          <t>E100</t>
        </is>
      </c>
    </row>
    <row r="19" ht="18" customHeight="1">
      <c r="A19" s="17" t="inlineStr">
        <is>
          <t>SUBTOTAL — Appliances</t>
        </is>
      </c>
      <c r="B19" s="22" t="n"/>
      <c r="C19" s="22" t="n"/>
      <c r="D19" s="22" t="n"/>
      <c r="E19" s="22" t="n"/>
      <c r="F19" s="22" t="n"/>
      <c r="G19" s="23" t="n"/>
      <c r="H19" s="18">
        <f>SUM(H3:H18)</f>
        <v/>
      </c>
      <c r="I19" s="19" t="n"/>
      <c r="J19" s="19" t="n"/>
    </row>
    <row r="20" ht="18" customHeight="1"/>
    <row r="21" ht="18" customHeight="1"/>
    <row r="22" ht="18" customHeight="1"/>
    <row r="23" ht="22" customHeight="1"/>
  </sheetData>
  <mergeCells count="2">
    <mergeCell ref="A1:J1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22" customWidth="1" min="4" max="4"/>
    <col width="5" customWidth="1" min="5" max="5"/>
    <col width="5" customWidth="1" min="6" max="6"/>
    <col width="12" customWidth="1" min="7" max="7"/>
    <col width="14" customWidth="1" min="8" max="8"/>
    <col width="20" customWidth="1" min="9" max="9"/>
    <col width="28" customWidth="1" min="10" max="10"/>
  </cols>
  <sheetData>
    <row r="1" ht="24" customHeight="1">
      <c r="A1" s="10" t="inlineStr">
        <is>
          <t>Outdoor-BBQ</t>
        </is>
      </c>
    </row>
    <row r="2" ht="30" customHeight="1">
      <c r="A2" s="11" t="inlineStr">
        <is>
          <t>#</t>
        </is>
      </c>
      <c r="B2" s="11" t="inlineStr">
        <is>
          <t>Item / Description</t>
        </is>
      </c>
      <c r="C2" s="11" t="inlineStr">
        <is>
          <t>Manufacturer</t>
        </is>
      </c>
      <c r="D2" s="11" t="inlineStr">
        <is>
          <t>Model</t>
        </is>
      </c>
      <c r="E2" s="11" t="inlineStr">
        <is>
          <t>Qty</t>
        </is>
      </c>
      <c r="F2" s="11" t="inlineStr">
        <is>
          <t>Unit</t>
        </is>
      </c>
      <c r="G2" s="11" t="inlineStr">
        <is>
          <t>Unit Price</t>
        </is>
      </c>
      <c r="H2" s="11" t="inlineStr">
        <is>
          <t>Extended</t>
        </is>
      </c>
      <c r="I2" s="11" t="inlineStr">
        <is>
          <t>Location</t>
        </is>
      </c>
      <c r="J2" s="11" t="inlineStr">
        <is>
          <t>Notes</t>
        </is>
      </c>
    </row>
    <row r="3" ht="18" customHeight="1">
      <c r="A3" s="6" t="n">
        <v>1</v>
      </c>
      <c r="B3" s="6" t="inlineStr">
        <is>
          <t>Pizza Oven</t>
        </is>
      </c>
      <c r="C3" s="6" t="inlineStr">
        <is>
          <t>TBD</t>
        </is>
      </c>
      <c r="D3" s="6" t="inlineStr">
        <is>
          <t>TBD</t>
        </is>
      </c>
      <c r="E3" s="6" t="n">
        <v>1</v>
      </c>
      <c r="F3" s="6" t="inlineStr">
        <is>
          <t>ea</t>
        </is>
      </c>
      <c r="G3" s="16" t="n">
        <v>3500</v>
      </c>
      <c r="H3" s="16">
        <f>E3*G3</f>
        <v/>
      </c>
      <c r="I3" s="6" t="inlineStr">
        <is>
          <t>Outdoor Kitchen</t>
        </is>
      </c>
      <c r="J3" s="6" t="inlineStr">
        <is>
          <t>E100 — confirm brand/model</t>
        </is>
      </c>
    </row>
    <row r="4" ht="18" customHeight="1">
      <c r="A4" s="4" t="n">
        <v>2</v>
      </c>
      <c r="B4" s="4" t="inlineStr">
        <is>
          <t>Flattop Griddle</t>
        </is>
      </c>
      <c r="C4" s="4" t="inlineStr">
        <is>
          <t>TBD</t>
        </is>
      </c>
      <c r="D4" s="4" t="inlineStr">
        <is>
          <t>TBD</t>
        </is>
      </c>
      <c r="E4" s="4" t="n">
        <v>1</v>
      </c>
      <c r="F4" s="4" t="inlineStr">
        <is>
          <t>ea</t>
        </is>
      </c>
      <c r="G4" s="15" t="n">
        <v>2800</v>
      </c>
      <c r="H4" s="15">
        <f>E4*G4</f>
        <v/>
      </c>
      <c r="I4" s="4" t="inlineStr">
        <is>
          <t>Outdoor Kitchen</t>
        </is>
      </c>
      <c r="J4" s="4" t="inlineStr">
        <is>
          <t>E100 — confirm brand/model</t>
        </is>
      </c>
    </row>
    <row r="5" ht="18" customHeight="1">
      <c r="A5" s="6" t="n">
        <v>3</v>
      </c>
      <c r="B5" s="6" t="inlineStr">
        <is>
          <t>Under-Counter Outdoor Refrigerator</t>
        </is>
      </c>
      <c r="C5" s="6" t="inlineStr">
        <is>
          <t>TBD</t>
        </is>
      </c>
      <c r="D5" s="6" t="inlineStr">
        <is>
          <t>TBD</t>
        </is>
      </c>
      <c r="E5" s="6" t="n">
        <v>1</v>
      </c>
      <c r="F5" s="6" t="inlineStr">
        <is>
          <t>ea</t>
        </is>
      </c>
      <c r="G5" s="16" t="n">
        <v>1400</v>
      </c>
      <c r="H5" s="16">
        <f>E5*G5</f>
        <v/>
      </c>
      <c r="I5" s="6" t="inlineStr">
        <is>
          <t>Outdoor Kitchen</t>
        </is>
      </c>
      <c r="J5" s="6" t="inlineStr">
        <is>
          <t>E100 — confirm model</t>
        </is>
      </c>
    </row>
    <row r="6" ht="18" customHeight="1">
      <c r="A6" s="4" t="n">
        <v>4</v>
      </c>
      <c r="B6" s="4" t="inlineStr">
        <is>
          <t>Butler Refrigerator/Freezer</t>
        </is>
      </c>
      <c r="C6" s="4" t="inlineStr">
        <is>
          <t>TBD</t>
        </is>
      </c>
      <c r="D6" s="4" t="inlineStr">
        <is>
          <t>TBD</t>
        </is>
      </c>
      <c r="E6" s="4" t="n">
        <v>1</v>
      </c>
      <c r="F6" s="4" t="inlineStr">
        <is>
          <t>ea</t>
        </is>
      </c>
      <c r="G6" s="15" t="n">
        <v>2200</v>
      </c>
      <c r="H6" s="15">
        <f>E6*G6</f>
        <v/>
      </c>
      <c r="I6" s="4" t="inlineStr">
        <is>
          <t>Outdoor Kitchen</t>
        </is>
      </c>
      <c r="J6" s="4" t="inlineStr">
        <is>
          <t>E100 — confirm indoor vs outdoor</t>
        </is>
      </c>
    </row>
    <row r="7" ht="18" customHeight="1">
      <c r="A7" s="6" t="n">
        <v>5</v>
      </c>
      <c r="B7" s="6" t="inlineStr">
        <is>
          <t>BBQ Grill</t>
        </is>
      </c>
      <c r="C7" s="6" t="inlineStr">
        <is>
          <t>TBD</t>
        </is>
      </c>
      <c r="D7" s="6" t="inlineStr">
        <is>
          <t>TBD</t>
        </is>
      </c>
      <c r="E7" s="6" t="n">
        <v>1</v>
      </c>
      <c r="F7" s="6" t="inlineStr">
        <is>
          <t>ea</t>
        </is>
      </c>
      <c r="G7" s="16" t="n">
        <v>3000</v>
      </c>
      <c r="H7" s="16">
        <f>E7*G7</f>
        <v/>
      </c>
      <c r="I7" s="6" t="inlineStr">
        <is>
          <t>Outdoor Kitchen</t>
        </is>
      </c>
      <c r="J7" s="6" t="inlineStr">
        <is>
          <t>Not on plan — confirm</t>
        </is>
      </c>
    </row>
    <row r="8" ht="18" customHeight="1">
      <c r="A8" s="4" t="n">
        <v>6</v>
      </c>
      <c r="B8" s="4" t="inlineStr">
        <is>
          <t>Outdoor Sink</t>
        </is>
      </c>
      <c r="C8" s="4" t="inlineStr">
        <is>
          <t>TBD</t>
        </is>
      </c>
      <c r="D8" s="4" t="inlineStr">
        <is>
          <t>TBD</t>
        </is>
      </c>
      <c r="E8" s="4" t="n">
        <v>1</v>
      </c>
      <c r="F8" s="4" t="inlineStr">
        <is>
          <t>ea</t>
        </is>
      </c>
      <c r="G8" s="15" t="n">
        <v>600</v>
      </c>
      <c r="H8" s="15">
        <f>E8*G8</f>
        <v/>
      </c>
      <c r="I8" s="4" t="inlineStr">
        <is>
          <t>Outdoor Kitchen</t>
        </is>
      </c>
      <c r="J8" s="4" t="inlineStr">
        <is>
          <t>Not on plan — confirm</t>
        </is>
      </c>
    </row>
    <row r="9" ht="18" customHeight="1">
      <c r="A9" s="6" t="n">
        <v>7</v>
      </c>
      <c r="B9" s="6" t="inlineStr">
        <is>
          <t>Outdoor Faucet</t>
        </is>
      </c>
      <c r="C9" s="6" t="inlineStr">
        <is>
          <t>TBD</t>
        </is>
      </c>
      <c r="D9" s="6" t="inlineStr">
        <is>
          <t>TBD</t>
        </is>
      </c>
      <c r="E9" s="6" t="n">
        <v>1</v>
      </c>
      <c r="F9" s="6" t="inlineStr">
        <is>
          <t>ea</t>
        </is>
      </c>
      <c r="G9" s="16" t="n">
        <v>300</v>
      </c>
      <c r="H9" s="16">
        <f>E9*G9</f>
        <v/>
      </c>
      <c r="I9" s="6" t="inlineStr">
        <is>
          <t>Outdoor Kitchen</t>
        </is>
      </c>
      <c r="J9" s="6" t="inlineStr">
        <is>
          <t>Not on plan — confirm</t>
        </is>
      </c>
    </row>
    <row r="10" ht="18" customHeight="1">
      <c r="A10" s="4" t="n">
        <v>8</v>
      </c>
      <c r="B10" s="4" t="inlineStr">
        <is>
          <t>Outdoor Refrigerator Drawer</t>
        </is>
      </c>
      <c r="C10" s="4" t="inlineStr">
        <is>
          <t>TBD</t>
        </is>
      </c>
      <c r="D10" s="4" t="inlineStr">
        <is>
          <t>TBD</t>
        </is>
      </c>
      <c r="E10" s="4" t="n">
        <v>1</v>
      </c>
      <c r="F10" s="4" t="inlineStr">
        <is>
          <t>ea</t>
        </is>
      </c>
      <c r="G10" s="15" t="n">
        <v>2200</v>
      </c>
      <c r="H10" s="15">
        <f>E10*G10</f>
        <v/>
      </c>
      <c r="I10" s="4" t="inlineStr">
        <is>
          <t>Outdoor Kitchen</t>
        </is>
      </c>
      <c r="J10" s="4" t="inlineStr">
        <is>
          <t>Not on plan — confirm</t>
        </is>
      </c>
    </row>
    <row r="11" ht="18" customHeight="1">
      <c r="A11" s="6" t="n">
        <v>9</v>
      </c>
      <c r="B11" s="6" t="inlineStr">
        <is>
          <t>Ice Maker Outdoor</t>
        </is>
      </c>
      <c r="C11" s="6" t="inlineStr">
        <is>
          <t>TBD</t>
        </is>
      </c>
      <c r="D11" s="6" t="inlineStr">
        <is>
          <t>TBD</t>
        </is>
      </c>
      <c r="E11" s="6" t="n">
        <v>1</v>
      </c>
      <c r="F11" s="6" t="inlineStr">
        <is>
          <t>ea</t>
        </is>
      </c>
      <c r="G11" s="16" t="n">
        <v>1800</v>
      </c>
      <c r="H11" s="16">
        <f>E11*G11</f>
        <v/>
      </c>
      <c r="I11" s="6" t="inlineStr">
        <is>
          <t>Outdoor Kitchen</t>
        </is>
      </c>
      <c r="J11" s="6" t="inlineStr">
        <is>
          <t>Not on plan — confirm</t>
        </is>
      </c>
    </row>
    <row r="12" ht="18" customHeight="1">
      <c r="A12" s="4" t="n">
        <v>10</v>
      </c>
      <c r="B12" s="4" t="inlineStr">
        <is>
          <t>Warming Drawer</t>
        </is>
      </c>
      <c r="C12" s="4" t="inlineStr">
        <is>
          <t>TBD</t>
        </is>
      </c>
      <c r="D12" s="4" t="inlineStr">
        <is>
          <t>TBD</t>
        </is>
      </c>
      <c r="E12" s="4" t="n">
        <v>1</v>
      </c>
      <c r="F12" s="4" t="inlineStr">
        <is>
          <t>ea</t>
        </is>
      </c>
      <c r="G12" s="15" t="n">
        <v>1200</v>
      </c>
      <c r="H12" s="15">
        <f>E12*G12</f>
        <v/>
      </c>
      <c r="I12" s="4" t="inlineStr">
        <is>
          <t>Outdoor Kitchen</t>
        </is>
      </c>
      <c r="J12" s="4" t="inlineStr">
        <is>
          <t>Not on plan — confirm</t>
        </is>
      </c>
    </row>
    <row r="13" ht="22" customHeight="1">
      <c r="A13" s="17" t="inlineStr">
        <is>
          <t>SUBTOTAL — Outdoor-BBQ</t>
        </is>
      </c>
      <c r="B13" s="22" t="n"/>
      <c r="C13" s="22" t="n"/>
      <c r="D13" s="22" t="n"/>
      <c r="E13" s="22" t="n"/>
      <c r="F13" s="22" t="n"/>
      <c r="G13" s="23" t="n"/>
      <c r="H13" s="18">
        <f>SUM(H3:H12)</f>
        <v/>
      </c>
      <c r="I13" s="19" t="n"/>
      <c r="J13" s="19" t="n"/>
    </row>
  </sheetData>
  <mergeCells count="2">
    <mergeCell ref="A13:G13"/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8" customWidth="1" min="4" max="4"/>
    <col width="8" customWidth="1" min="5" max="5"/>
    <col width="8" customWidth="1" min="6" max="6"/>
    <col width="5" customWidth="1" min="7" max="7"/>
    <col width="14" customWidth="1" min="8" max="8"/>
    <col width="14" customWidth="1" min="9" max="9"/>
    <col width="10" customWidth="1" min="10" max="10"/>
    <col width="30" customWidth="1" min="11" max="11"/>
  </cols>
  <sheetData>
    <row r="1" ht="24" customHeight="1">
      <c r="A1" s="10" t="inlineStr">
        <is>
          <t>BLINDS &amp; SHADES</t>
        </is>
      </c>
    </row>
    <row r="2" ht="36" customHeight="1">
      <c r="A2" s="11" t="inlineStr">
        <is>
          <t>#</t>
        </is>
      </c>
      <c r="B2" s="11" t="inlineStr">
        <is>
          <t>Location</t>
        </is>
      </c>
      <c r="C2" s="11" t="inlineStr">
        <is>
          <t>Description</t>
        </is>
      </c>
      <c r="D2" s="11" t="inlineStr">
        <is>
          <t>W (ft)</t>
        </is>
      </c>
      <c r="E2" s="11" t="inlineStr">
        <is>
          <t>Drop (ft)</t>
        </is>
      </c>
      <c r="F2" s="11" t="inlineStr">
        <is>
          <t>Sq Ft</t>
        </is>
      </c>
      <c r="G2" s="11" t="inlineStr">
        <is>
          <t>Qty</t>
        </is>
      </c>
      <c r="H2" s="11" t="inlineStr">
        <is>
          <t>Unit Price/SF</t>
        </is>
      </c>
      <c r="I2" s="11" t="inlineStr">
        <is>
          <t>Extended</t>
        </is>
      </c>
      <c r="J2" s="11" t="inlineStr">
        <is>
          <t>Motor</t>
        </is>
      </c>
      <c r="K2" s="11" t="inlineStr">
        <is>
          <t>Notes</t>
        </is>
      </c>
    </row>
    <row r="3" ht="32" customHeight="1">
      <c r="A3" s="26" t="inlineStr">
        <is>
          <t>NOTE: Motors (Somfy Sonesse 60/100 RS485 — 11 total) are priced in the AV &amp; Automation tab. Prices below are for shade fabric, roller tube, fascia, hardware &amp; installation only. All dimensions from A104/A504 — verify in field before ordering.</t>
        </is>
      </c>
    </row>
    <row r="4" ht="18" customHeight="1">
      <c r="A4" s="27" t="inlineStr">
        <is>
          <t>MAIN LEVEL — Large Motorized Glass Walls (from A504)</t>
        </is>
      </c>
    </row>
    <row r="5" ht="18" customHeight="1">
      <c r="A5" s="6" t="n">
        <v>1</v>
      </c>
      <c r="B5" s="6" t="inlineStr">
        <is>
          <t>Great Room Glass</t>
        </is>
      </c>
      <c r="C5" s="6" t="inlineStr">
        <is>
          <t>Motorized Roller Shade — Single Story Panels (solar 5%)</t>
        </is>
      </c>
      <c r="D5" s="6" t="n">
        <v>10</v>
      </c>
      <c r="E5" s="6" t="n">
        <v>10</v>
      </c>
      <c r="F5" s="28" t="n">
        <v>100</v>
      </c>
      <c r="G5" s="6" t="n">
        <v>5</v>
      </c>
      <c r="H5" s="16" t="n">
        <v>85</v>
      </c>
      <c r="I5" s="16">
        <f>F5*G5*H5</f>
        <v/>
      </c>
      <c r="J5" s="6" t="inlineStr">
        <is>
          <t>Yes</t>
        </is>
      </c>
      <c r="K5" s="6" t="inlineStr">
        <is>
          <t>A504 lower panels ~10' drop; verify width per panel</t>
        </is>
      </c>
    </row>
    <row r="6" ht="18" customHeight="1">
      <c r="A6" s="4" t="n">
        <v>2</v>
      </c>
      <c r="B6" s="4" t="inlineStr">
        <is>
          <t>Great Room Glass</t>
        </is>
      </c>
      <c r="C6" s="4" t="inlineStr">
        <is>
          <t>Motorized Roller Shade — Two-Story Tall Drop (solar 5%)</t>
        </is>
      </c>
      <c r="D6" s="4" t="n">
        <v>9</v>
      </c>
      <c r="E6" s="4" t="n">
        <v>22.5</v>
      </c>
      <c r="F6" s="29" t="n">
        <v>202.5</v>
      </c>
      <c r="G6" s="4" t="n">
        <v>3</v>
      </c>
      <c r="H6" s="15" t="n">
        <v>95</v>
      </c>
      <c r="I6" s="15">
        <f>F6*G6*H6</f>
        <v/>
      </c>
      <c r="J6" s="4" t="inlineStr">
        <is>
          <t>Yes</t>
        </is>
      </c>
      <c r="K6" s="4" t="inlineStr">
        <is>
          <t>A504 tall panels ~22.5' drop; Hi-Torque motor req'd</t>
        </is>
      </c>
    </row>
    <row r="7" ht="18" customHeight="1">
      <c r="A7" s="6" t="n">
        <v>3</v>
      </c>
      <c r="B7" s="6" t="inlineStr">
        <is>
          <t>Glass East Wall</t>
        </is>
      </c>
      <c r="C7" s="6" t="inlineStr">
        <is>
          <t>Motorized Roller Shade — Single Story (solar 5%)</t>
        </is>
      </c>
      <c r="D7" s="6" t="n">
        <v>9.5</v>
      </c>
      <c r="E7" s="6" t="n">
        <v>10</v>
      </c>
      <c r="F7" s="28" t="n">
        <v>95</v>
      </c>
      <c r="G7" s="6" t="n">
        <v>2</v>
      </c>
      <c r="H7" s="16" t="n">
        <v>85</v>
      </c>
      <c r="I7" s="16">
        <f>F7*G7*H7</f>
        <v/>
      </c>
      <c r="J7" s="6" t="inlineStr">
        <is>
          <t>Yes</t>
        </is>
      </c>
      <c r="K7" s="6" t="inlineStr">
        <is>
          <t>A504 East ~19' wide; 2 drops</t>
        </is>
      </c>
    </row>
    <row r="8" ht="18" customHeight="1">
      <c r="A8" s="4" t="n">
        <v>4</v>
      </c>
      <c r="B8" s="4" t="inlineStr">
        <is>
          <t>Glass West Wall</t>
        </is>
      </c>
      <c r="C8" s="4" t="inlineStr">
        <is>
          <t>Motorized Roller Shade — Single Story (solar 5%)</t>
        </is>
      </c>
      <c r="D8" s="4" t="n">
        <v>9.5</v>
      </c>
      <c r="E8" s="4" t="n">
        <v>7.5</v>
      </c>
      <c r="F8" s="29" t="n">
        <v>71.25</v>
      </c>
      <c r="G8" s="4" t="n">
        <v>2</v>
      </c>
      <c r="H8" s="15" t="n">
        <v>85</v>
      </c>
      <c r="I8" s="15">
        <f>F8*G8*H8</f>
        <v/>
      </c>
      <c r="J8" s="4" t="inlineStr">
        <is>
          <t>Yes</t>
        </is>
      </c>
      <c r="K8" s="4" t="inlineStr">
        <is>
          <t>A504 West ~19' wide; 2 drops</t>
        </is>
      </c>
    </row>
    <row r="9" ht="18" customHeight="1">
      <c r="A9" s="27" t="inlineStr">
        <is>
          <t>UPPER LEVEL — Large Motorized Glass Walls</t>
        </is>
      </c>
    </row>
    <row r="10" ht="18" customHeight="1">
      <c r="A10" s="4" t="n">
        <v>5</v>
      </c>
      <c r="B10" s="4" t="inlineStr">
        <is>
          <t>Upper Glass Wall</t>
        </is>
      </c>
      <c r="C10" s="4" t="inlineStr">
        <is>
          <t>Motorized Roller Shade — Single Story (solar 5%)</t>
        </is>
      </c>
      <c r="D10" s="4" t="n">
        <v>9.75</v>
      </c>
      <c r="E10" s="4" t="n">
        <v>9.5</v>
      </c>
      <c r="F10" s="29" t="n">
        <v>92.625</v>
      </c>
      <c r="G10" s="4" t="n">
        <v>2</v>
      </c>
      <c r="H10" s="15" t="n">
        <v>85</v>
      </c>
      <c r="I10" s="15">
        <f>F10*G10*H10</f>
        <v/>
      </c>
      <c r="J10" s="4" t="inlineStr">
        <is>
          <t>Yes</t>
        </is>
      </c>
      <c r="K10" s="4" t="inlineStr">
        <is>
          <t>A504 Upper ~19.5' wide; 2 drops; Lvl 12</t>
        </is>
      </c>
    </row>
    <row r="11" ht="18" customHeight="1">
      <c r="A11" s="6" t="n">
        <v>6</v>
      </c>
      <c r="B11" s="6" t="inlineStr">
        <is>
          <t>Upper Glass Wall</t>
        </is>
      </c>
      <c r="C11" s="6" t="inlineStr">
        <is>
          <t>Motorized Roller Shade — Single Story (light filter)</t>
        </is>
      </c>
      <c r="D11" s="6" t="n">
        <v>9.75</v>
      </c>
      <c r="E11" s="6" t="n">
        <v>9.5</v>
      </c>
      <c r="F11" s="28" t="n">
        <v>92.625</v>
      </c>
      <c r="G11" s="6" t="n">
        <v>1</v>
      </c>
      <c r="H11" s="16" t="n">
        <v>80</v>
      </c>
      <c r="I11" s="16">
        <f>F11*G11*H11</f>
        <v/>
      </c>
      <c r="J11" s="6" t="inlineStr">
        <is>
          <t>Yes</t>
        </is>
      </c>
      <c r="K11" s="6" t="inlineStr">
        <is>
          <t>Additional drop for privacy — confirm</t>
        </is>
      </c>
    </row>
    <row r="12" ht="18" customHeight="1">
      <c r="A12" s="27" t="inlineStr">
        <is>
          <t>ENTRY / FOYER</t>
        </is>
      </c>
    </row>
    <row r="13" ht="18" customHeight="1">
      <c r="A13" s="6" t="n">
        <v>7</v>
      </c>
      <c r="B13" s="6" t="inlineStr">
        <is>
          <t>Glass Entry</t>
        </is>
      </c>
      <c r="C13" s="6" t="inlineStr">
        <is>
          <t>Fixed Roller Shade — Glass Entry Sidelite (light filter)</t>
        </is>
      </c>
      <c r="D13" s="6" t="n">
        <v>8</v>
      </c>
      <c r="E13" s="6" t="n">
        <v>3.5</v>
      </c>
      <c r="F13" s="28" t="n">
        <v>28</v>
      </c>
      <c r="G13" s="6" t="n">
        <v>1</v>
      </c>
      <c r="H13" s="16" t="n">
        <v>75</v>
      </c>
      <c r="I13" s="16">
        <f>F13*G13*H13</f>
        <v/>
      </c>
      <c r="J13" s="6" t="inlineStr">
        <is>
          <t>No</t>
        </is>
      </c>
      <c r="K13" s="6" t="inlineStr">
        <is>
          <t>A504 Entry; manual or motorized — confirm</t>
        </is>
      </c>
    </row>
    <row r="14" ht="18" customHeight="1">
      <c r="A14" s="27" t="inlineStr">
        <is>
          <t>STANDARD WINDOWS (from A104 Window Schedule)</t>
        </is>
      </c>
    </row>
    <row r="15" ht="18" customHeight="1">
      <c r="A15" s="6" t="n">
        <v>8</v>
      </c>
      <c r="B15" s="6" t="inlineStr">
        <is>
          <t>Main Level</t>
        </is>
      </c>
      <c r="C15" s="6" t="inlineStr">
        <is>
          <t>Roller Shade — Fixed Window W1 (blackout)</t>
        </is>
      </c>
      <c r="D15" s="6" t="n">
        <v>6</v>
      </c>
      <c r="E15" s="6" t="n">
        <v>8</v>
      </c>
      <c r="F15" s="28" t="n">
        <v>48</v>
      </c>
      <c r="G15" s="6" t="n">
        <v>8</v>
      </c>
      <c r="H15" s="16" t="n">
        <v>65</v>
      </c>
      <c r="I15" s="16">
        <f>F15*G15*H15</f>
        <v/>
      </c>
      <c r="J15" s="6" t="inlineStr">
        <is>
          <t>No</t>
        </is>
      </c>
      <c r="K15" s="6" t="inlineStr">
        <is>
          <t>A104 W1: 8 total, Fixed 72x24, Main</t>
        </is>
      </c>
    </row>
    <row r="16" ht="18" customHeight="1">
      <c r="A16" s="4" t="n">
        <v>9</v>
      </c>
      <c r="B16" s="4" t="inlineStr">
        <is>
          <t>Main Level</t>
        </is>
      </c>
      <c r="C16" s="4" t="inlineStr">
        <is>
          <t>Roller Shade — Fixed Window W2 (blackout)</t>
        </is>
      </c>
      <c r="D16" s="4" t="n">
        <v>6</v>
      </c>
      <c r="E16" s="4" t="n">
        <v>11</v>
      </c>
      <c r="F16" s="29" t="n">
        <v>66</v>
      </c>
      <c r="G16" s="4" t="n">
        <v>1</v>
      </c>
      <c r="H16" s="15" t="n">
        <v>65</v>
      </c>
      <c r="I16" s="15">
        <f>F16*G16*H16</f>
        <v/>
      </c>
      <c r="J16" s="4" t="inlineStr">
        <is>
          <t>No</t>
        </is>
      </c>
      <c r="K16" s="4" t="inlineStr">
        <is>
          <t>A104 W2: 1 total, Fixed 72x24, Main (high head)</t>
        </is>
      </c>
    </row>
    <row r="17" ht="18" customHeight="1">
      <c r="A17" s="6" t="n">
        <v>10</v>
      </c>
      <c r="B17" s="6" t="inlineStr">
        <is>
          <t>Level 10</t>
        </is>
      </c>
      <c r="C17" s="6" t="inlineStr">
        <is>
          <t>Roller Shade — Fixed Window W3 (blackout)</t>
        </is>
      </c>
      <c r="D17" s="6" t="n">
        <v>6</v>
      </c>
      <c r="E17" s="6" t="n">
        <v>8</v>
      </c>
      <c r="F17" s="28" t="n">
        <v>48</v>
      </c>
      <c r="G17" s="6" t="n">
        <v>1</v>
      </c>
      <c r="H17" s="16" t="n">
        <v>65</v>
      </c>
      <c r="I17" s="16">
        <f>F17*G17*H17</f>
        <v/>
      </c>
      <c r="J17" s="6" t="inlineStr">
        <is>
          <t>No</t>
        </is>
      </c>
      <c r="K17" s="6" t="inlineStr">
        <is>
          <t>A104 W3: Level 10</t>
        </is>
      </c>
    </row>
    <row r="18" ht="18" customHeight="1">
      <c r="A18" s="4" t="n">
        <v>11</v>
      </c>
      <c r="B18" s="4" t="inlineStr">
        <is>
          <t>Level 12</t>
        </is>
      </c>
      <c r="C18" s="4" t="inlineStr">
        <is>
          <t>Roller Shade — Fixed Window W4 (blackout)</t>
        </is>
      </c>
      <c r="D18" s="4" t="n">
        <v>6</v>
      </c>
      <c r="E18" s="4" t="n">
        <v>8</v>
      </c>
      <c r="F18" s="29" t="n">
        <v>48</v>
      </c>
      <c r="G18" s="4" t="n">
        <v>1</v>
      </c>
      <c r="H18" s="15" t="n">
        <v>65</v>
      </c>
      <c r="I18" s="15">
        <f>F18*G18*H18</f>
        <v/>
      </c>
      <c r="J18" s="4" t="inlineStr">
        <is>
          <t>No</t>
        </is>
      </c>
      <c r="K18" s="4" t="inlineStr">
        <is>
          <t>A104 W4: Level 12</t>
        </is>
      </c>
    </row>
    <row r="19" ht="18" customHeight="1">
      <c r="A19" s="6" t="n">
        <v>12</v>
      </c>
      <c r="B19" s="6" t="inlineStr">
        <is>
          <t>Level 12</t>
        </is>
      </c>
      <c r="C19" s="6" t="inlineStr">
        <is>
          <t>Roller Shade — Casement Window W13 (light filter)</t>
        </is>
      </c>
      <c r="D19" s="6" t="n">
        <v>3</v>
      </c>
      <c r="E19" s="6" t="n">
        <v>5</v>
      </c>
      <c r="F19" s="28" t="n">
        <v>15</v>
      </c>
      <c r="G19" s="6" t="n">
        <v>1</v>
      </c>
      <c r="H19" s="16" t="n">
        <v>65</v>
      </c>
      <c r="I19" s="16">
        <f>F19*G19*H19</f>
        <v/>
      </c>
      <c r="J19" s="6" t="inlineStr">
        <is>
          <t>No</t>
        </is>
      </c>
      <c r="K19" s="6" t="inlineStr">
        <is>
          <t>A104 W13: Casement 36x60, Level 12</t>
        </is>
      </c>
    </row>
    <row r="20" ht="18" customHeight="1">
      <c r="A20" s="27" t="inlineStr">
        <is>
          <t>CONTINGENCY / ALLOWANCE</t>
        </is>
      </c>
    </row>
    <row r="21" ht="18" customHeight="1">
      <c r="A21" s="6" t="n">
        <v>13</v>
      </c>
      <c r="B21" s="6" t="inlineStr">
        <is>
          <t>TBD</t>
        </is>
      </c>
      <c r="C21" s="6" t="inlineStr">
        <is>
          <t>Allowance — additional windows not shown in schedule</t>
        </is>
      </c>
      <c r="D21" s="6" t="n">
        <v>1</v>
      </c>
      <c r="E21" s="6" t="n">
        <v>1</v>
      </c>
      <c r="F21" s="28" t="n">
        <v>1</v>
      </c>
      <c r="G21" s="6" t="n">
        <v>1</v>
      </c>
      <c r="H21" s="16" t="n">
        <v>500</v>
      </c>
      <c r="I21" s="16">
        <f>F21*G21*H21</f>
        <v/>
      </c>
      <c r="J21" s="6" t="inlineStr">
        <is>
          <t>No</t>
        </is>
      </c>
      <c r="K21" s="6" t="inlineStr">
        <is>
          <t>Flat allowance — field verify</t>
        </is>
      </c>
    </row>
    <row r="23" ht="22" customHeight="1">
      <c r="A23" s="17" t="inlineStr">
        <is>
          <t>SUBTOTAL — Blinds &amp; Shades (fabric/hardware/install, motors separate)</t>
        </is>
      </c>
      <c r="I23" s="18">
        <f>I5+I6+I7+I8+I10+I11+I13+I15+I16+I17+I18+I19+I21</f>
        <v/>
      </c>
      <c r="J23" s="19" t="n"/>
      <c r="K23" s="19" t="n"/>
    </row>
  </sheetData>
  <mergeCells count="8">
    <mergeCell ref="A12:K12"/>
    <mergeCell ref="A4:K4"/>
    <mergeCell ref="A3:K3"/>
    <mergeCell ref="A20:K20"/>
    <mergeCell ref="A23:H23"/>
    <mergeCell ref="A14:K14"/>
    <mergeCell ref="A1:K1"/>
    <mergeCell ref="A9:K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24" customWidth="1" min="4" max="4"/>
    <col width="5" customWidth="1" min="5" max="5"/>
    <col width="5" customWidth="1" min="6" max="6"/>
    <col width="12" customWidth="1" min="7" max="7"/>
    <col width="14" customWidth="1" min="8" max="8"/>
    <col width="18" customWidth="1" min="9" max="9"/>
    <col width="28" customWidth="1" min="10" max="10"/>
  </cols>
  <sheetData>
    <row r="1" ht="24" customHeight="1">
      <c r="A1" s="10" t="inlineStr">
        <is>
          <t>AV &amp; AUTOMATION</t>
        </is>
      </c>
    </row>
    <row r="2" ht="30" customHeight="1">
      <c r="A2" s="11" t="inlineStr">
        <is>
          <t>#</t>
        </is>
      </c>
      <c r="B2" s="11" t="inlineStr">
        <is>
          <t>Item / Description</t>
        </is>
      </c>
      <c r="C2" s="11" t="inlineStr">
        <is>
          <t>Manufacturer</t>
        </is>
      </c>
      <c r="D2" s="11" t="inlineStr">
        <is>
          <t>Model</t>
        </is>
      </c>
      <c r="E2" s="11" t="inlineStr">
        <is>
          <t>Qty</t>
        </is>
      </c>
      <c r="F2" s="11" t="inlineStr">
        <is>
          <t>Unit</t>
        </is>
      </c>
      <c r="G2" s="11" t="inlineStr">
        <is>
          <t>Unit Price</t>
        </is>
      </c>
      <c r="H2" s="11" t="inlineStr">
        <is>
          <t>Extended</t>
        </is>
      </c>
      <c r="I2" s="11" t="inlineStr">
        <is>
          <t>Location</t>
        </is>
      </c>
      <c r="J2" s="11" t="inlineStr">
        <is>
          <t>Notes</t>
        </is>
      </c>
    </row>
    <row r="3" ht="18" customHeight="1">
      <c r="A3" s="6" t="n">
        <v>1</v>
      </c>
      <c r="B3" s="6" t="inlineStr">
        <is>
          <t>Sony Bravia 85" TV</t>
        </is>
      </c>
      <c r="C3" s="6" t="inlineStr">
        <is>
          <t>Sony</t>
        </is>
      </c>
      <c r="D3" s="6" t="inlineStr">
        <is>
          <t>XR-85X90L</t>
        </is>
      </c>
      <c r="E3" s="6" t="n">
        <v>1</v>
      </c>
      <c r="F3" s="6" t="inlineStr">
        <is>
          <t>ea</t>
        </is>
      </c>
      <c r="G3" s="16" t="n">
        <v>2800</v>
      </c>
      <c r="H3" s="16">
        <f>E3*G3</f>
        <v/>
      </c>
      <c r="I3" s="6" t="inlineStr">
        <is>
          <t>Main Theater/Living</t>
        </is>
      </c>
      <c r="J3" s="6" t="inlineStr">
        <is>
          <t>A111</t>
        </is>
      </c>
    </row>
    <row r="4" ht="18" customHeight="1">
      <c r="A4" s="4" t="n">
        <v>2</v>
      </c>
      <c r="B4" s="4" t="inlineStr">
        <is>
          <t>Sony Bravia 75" TV</t>
        </is>
      </c>
      <c r="C4" s="4" t="inlineStr">
        <is>
          <t>Sony</t>
        </is>
      </c>
      <c r="D4" s="4" t="inlineStr">
        <is>
          <t>XR-75X90L</t>
        </is>
      </c>
      <c r="E4" s="4" t="n">
        <v>4</v>
      </c>
      <c r="F4" s="4" t="inlineStr">
        <is>
          <t>ea</t>
        </is>
      </c>
      <c r="G4" s="15" t="n">
        <v>1800</v>
      </c>
      <c r="H4" s="15">
        <f>E4*G4</f>
        <v/>
      </c>
      <c r="I4" s="4" t="inlineStr">
        <is>
          <t>Various rooms</t>
        </is>
      </c>
      <c r="J4" s="4" t="inlineStr">
        <is>
          <t>A111/A112 — 4 per schedule</t>
        </is>
      </c>
    </row>
    <row r="5" ht="18" customHeight="1">
      <c r="A5" s="6" t="n">
        <v>3</v>
      </c>
      <c r="B5" s="6" t="inlineStr">
        <is>
          <t>150" Acoustically Transparent Screen</t>
        </is>
      </c>
      <c r="C5" s="6" t="inlineStr">
        <is>
          <t>Screen Innovations</t>
        </is>
      </c>
      <c r="D5" s="6" t="inlineStr">
        <is>
          <t>Zero Edge Maestro 2</t>
        </is>
      </c>
      <c r="E5" s="6" t="n">
        <v>1</v>
      </c>
      <c r="F5" s="6" t="inlineStr">
        <is>
          <t>ea</t>
        </is>
      </c>
      <c r="G5" s="16" t="n">
        <v>8500</v>
      </c>
      <c r="H5" s="16">
        <f>E5*G5</f>
        <v/>
      </c>
      <c r="I5" s="6" t="inlineStr">
        <is>
          <t>Home Theater</t>
        </is>
      </c>
      <c r="J5" s="6" t="inlineStr">
        <is>
          <t>A111 — confirm size/model</t>
        </is>
      </c>
    </row>
    <row r="6" ht="18" customHeight="1">
      <c r="A6" s="4" t="n">
        <v>4</v>
      </c>
      <c r="B6" s="4" t="inlineStr">
        <is>
          <t>Projector (for 150" screen)</t>
        </is>
      </c>
      <c r="C6" s="4" t="inlineStr">
        <is>
          <t>TBD</t>
        </is>
      </c>
      <c r="D6" s="4" t="inlineStr">
        <is>
          <t>TBD</t>
        </is>
      </c>
      <c r="E6" s="4" t="n">
        <v>1</v>
      </c>
      <c r="F6" s="4" t="inlineStr">
        <is>
          <t>ea</t>
        </is>
      </c>
      <c r="G6" s="15" t="n">
        <v>4500</v>
      </c>
      <c r="H6" s="15">
        <f>E6*G6</f>
        <v/>
      </c>
      <c r="I6" s="4" t="inlineStr">
        <is>
          <t>Home Theater</t>
        </is>
      </c>
      <c r="J6" s="4" t="inlineStr">
        <is>
          <t>Not on plan — required for screen</t>
        </is>
      </c>
    </row>
    <row r="7" ht="18" customHeight="1">
      <c r="A7" s="6" t="n">
        <v>5</v>
      </c>
      <c r="B7" s="6" t="inlineStr">
        <is>
          <t>7.2 Surround A/V Receiver</t>
        </is>
      </c>
      <c r="C7" s="6" t="inlineStr">
        <is>
          <t>McIntosh</t>
        </is>
      </c>
      <c r="D7" s="6" t="inlineStr">
        <is>
          <t>HT-300</t>
        </is>
      </c>
      <c r="E7" s="6" t="n">
        <v>1</v>
      </c>
      <c r="F7" s="6" t="inlineStr">
        <is>
          <t>ea</t>
        </is>
      </c>
      <c r="G7" s="16" t="n">
        <v>9500</v>
      </c>
      <c r="H7" s="16">
        <f>E7*G7</f>
        <v/>
      </c>
      <c r="I7" s="6" t="inlineStr">
        <is>
          <t>Home Theater</t>
        </is>
      </c>
      <c r="J7" s="6" t="inlineStr">
        <is>
          <t>A111</t>
        </is>
      </c>
    </row>
    <row r="8" ht="18" customHeight="1">
      <c r="A8" s="4" t="n">
        <v>6</v>
      </c>
      <c r="B8" s="4" t="inlineStr">
        <is>
          <t>LR Speaker In-Ceiling</t>
        </is>
      </c>
      <c r="C8" s="4" t="inlineStr">
        <is>
          <t>Martin Logan</t>
        </is>
      </c>
      <c r="D8" s="4" t="inlineStr">
        <is>
          <t>XT CI XTW-6</t>
        </is>
      </c>
      <c r="E8" s="4" t="n">
        <v>2</v>
      </c>
      <c r="F8" s="4" t="inlineStr">
        <is>
          <t>ea</t>
        </is>
      </c>
      <c r="G8" s="15" t="n">
        <v>650</v>
      </c>
      <c r="H8" s="15">
        <f>E8*G8</f>
        <v/>
      </c>
      <c r="I8" s="4" t="inlineStr">
        <is>
          <t>Home Theater</t>
        </is>
      </c>
      <c r="J8" s="4" t="inlineStr">
        <is>
          <t>A111</t>
        </is>
      </c>
    </row>
    <row r="9" ht="18" customHeight="1">
      <c r="A9" s="6" t="n">
        <v>7</v>
      </c>
      <c r="B9" s="6" t="inlineStr">
        <is>
          <t>Surround Speaker In-Ceiling</t>
        </is>
      </c>
      <c r="C9" s="6" t="inlineStr">
        <is>
          <t>Martin Logan</t>
        </is>
      </c>
      <c r="D9" s="6" t="inlineStr">
        <is>
          <t>Motion XT CI XTC8-HT</t>
        </is>
      </c>
      <c r="E9" s="6" t="n">
        <v>4</v>
      </c>
      <c r="F9" s="6" t="inlineStr">
        <is>
          <t>ea</t>
        </is>
      </c>
      <c r="G9" s="16" t="n">
        <v>750</v>
      </c>
      <c r="H9" s="16">
        <f>E9*G9</f>
        <v/>
      </c>
      <c r="I9" s="6" t="inlineStr">
        <is>
          <t>Home Theater</t>
        </is>
      </c>
      <c r="J9" s="6" t="inlineStr">
        <is>
          <t>A111</t>
        </is>
      </c>
    </row>
    <row r="10" ht="18" customHeight="1">
      <c r="A10" s="4" t="n">
        <v>8</v>
      </c>
      <c r="B10" s="4" t="inlineStr">
        <is>
          <t>12" Subwoofer In-Wall</t>
        </is>
      </c>
      <c r="C10" s="4" t="inlineStr">
        <is>
          <t>Martin Logan</t>
        </is>
      </c>
      <c r="D10" s="4" t="inlineStr">
        <is>
          <t>12" Dynamo</t>
        </is>
      </c>
      <c r="E10" s="4" t="n">
        <v>2</v>
      </c>
      <c r="F10" s="4" t="inlineStr">
        <is>
          <t>ea</t>
        </is>
      </c>
      <c r="G10" s="15" t="n">
        <v>1200</v>
      </c>
      <c r="H10" s="15">
        <f>E10*G10</f>
        <v/>
      </c>
      <c r="I10" s="4" t="inlineStr">
        <is>
          <t>Home Theater</t>
        </is>
      </c>
      <c r="J10" s="4" t="inlineStr">
        <is>
          <t>A111</t>
        </is>
      </c>
    </row>
    <row r="11" ht="18" customHeight="1">
      <c r="A11" s="6" t="n">
        <v>9</v>
      </c>
      <c r="B11" s="6" t="inlineStr">
        <is>
          <t>Soundbar</t>
        </is>
      </c>
      <c r="C11" s="6" t="inlineStr">
        <is>
          <t>Sonos</t>
        </is>
      </c>
      <c r="D11" s="6" t="inlineStr">
        <is>
          <t>Arc</t>
        </is>
      </c>
      <c r="E11" s="6" t="n">
        <v>5</v>
      </c>
      <c r="F11" s="6" t="inlineStr">
        <is>
          <t>ea</t>
        </is>
      </c>
      <c r="G11" s="16" t="n">
        <v>900</v>
      </c>
      <c r="H11" s="16">
        <f>E11*G11</f>
        <v/>
      </c>
      <c r="I11" s="6" t="inlineStr">
        <is>
          <t>Multiple rooms</t>
        </is>
      </c>
      <c r="J11" s="6" t="inlineStr">
        <is>
          <t>A111/A112 — 5 per schedule</t>
        </is>
      </c>
    </row>
    <row r="12" ht="18" customHeight="1">
      <c r="A12" s="4" t="n">
        <v>10</v>
      </c>
      <c r="B12" s="4" t="inlineStr">
        <is>
          <t>Smart Home Hub</t>
        </is>
      </c>
      <c r="C12" s="4" t="inlineStr">
        <is>
          <t>Homey</t>
        </is>
      </c>
      <c r="D12" s="4" t="inlineStr">
        <is>
          <t>Pro 2023</t>
        </is>
      </c>
      <c r="E12" s="4" t="n">
        <v>5</v>
      </c>
      <c r="F12" s="4" t="inlineStr">
        <is>
          <t>ea</t>
        </is>
      </c>
      <c r="G12" s="15" t="n">
        <v>300</v>
      </c>
      <c r="H12" s="15">
        <f>E12*G12</f>
        <v/>
      </c>
      <c r="I12" s="4" t="inlineStr">
        <is>
          <t>Distributed</t>
        </is>
      </c>
      <c r="J12" s="4" t="inlineStr">
        <is>
          <t>A111 — 5 per AV plan</t>
        </is>
      </c>
    </row>
    <row r="13" ht="18" customHeight="1">
      <c r="A13" s="6" t="n">
        <v>11</v>
      </c>
      <c r="B13" s="6" t="inlineStr">
        <is>
          <t>Smart Home Bridge</t>
        </is>
      </c>
      <c r="C13" s="6" t="inlineStr">
        <is>
          <t>Homey</t>
        </is>
      </c>
      <c r="D13" s="6" t="inlineStr">
        <is>
          <t>Bridge</t>
        </is>
      </c>
      <c r="E13" s="6" t="n">
        <v>3</v>
      </c>
      <c r="F13" s="6" t="inlineStr">
        <is>
          <t>ea</t>
        </is>
      </c>
      <c r="G13" s="16" t="n">
        <v>100</v>
      </c>
      <c r="H13" s="16">
        <f>E13*G13</f>
        <v/>
      </c>
      <c r="I13" s="6" t="inlineStr">
        <is>
          <t>Distributed</t>
        </is>
      </c>
      <c r="J13" s="6" t="inlineStr">
        <is>
          <t>A111</t>
        </is>
      </c>
    </row>
    <row r="14" ht="18" customHeight="1">
      <c r="A14" s="4" t="n">
        <v>12</v>
      </c>
      <c r="B14" s="4" t="inlineStr">
        <is>
          <t>Smart Lock Door</t>
        </is>
      </c>
      <c r="C14" s="4" t="inlineStr">
        <is>
          <t>Level</t>
        </is>
      </c>
      <c r="D14" s="4" t="inlineStr">
        <is>
          <t>Bolt</t>
        </is>
      </c>
      <c r="E14" s="4" t="n">
        <v>8</v>
      </c>
      <c r="F14" s="4" t="inlineStr">
        <is>
          <t>ea</t>
        </is>
      </c>
      <c r="G14" s="15" t="n">
        <v>250</v>
      </c>
      <c r="H14" s="15">
        <f>E14*G14</f>
        <v/>
      </c>
      <c r="I14" s="4" t="inlineStr">
        <is>
          <t>All entry doors</t>
        </is>
      </c>
      <c r="J14" s="4" t="inlineStr">
        <is>
          <t>A111</t>
        </is>
      </c>
    </row>
    <row r="15" ht="18" customHeight="1">
      <c r="A15" s="6" t="n">
        <v>13</v>
      </c>
      <c r="B15" s="6" t="inlineStr">
        <is>
          <t>Smart Display 10"</t>
        </is>
      </c>
      <c r="C15" s="6" t="inlineStr">
        <is>
          <t>Google</t>
        </is>
      </c>
      <c r="D15" s="6" t="inlineStr">
        <is>
          <t>Nest Hub 10"</t>
        </is>
      </c>
      <c r="E15" s="6" t="n">
        <v>10</v>
      </c>
      <c r="F15" s="6" t="inlineStr">
        <is>
          <t>ea</t>
        </is>
      </c>
      <c r="G15" s="16" t="n">
        <v>230</v>
      </c>
      <c r="H15" s="16">
        <f>E15*G15</f>
        <v/>
      </c>
      <c r="I15" s="6" t="inlineStr">
        <is>
          <t>Throughout</t>
        </is>
      </c>
      <c r="J15" s="6" t="inlineStr">
        <is>
          <t>A111/A112 — 10 per schedule</t>
        </is>
      </c>
    </row>
    <row r="16" ht="18" customHeight="1">
      <c r="A16" s="4" t="n">
        <v>14</v>
      </c>
      <c r="B16" s="4" t="inlineStr">
        <is>
          <t>Video Doorbell</t>
        </is>
      </c>
      <c r="C16" s="4" t="inlineStr">
        <is>
          <t>Eufy</t>
        </is>
      </c>
      <c r="D16" s="4" t="inlineStr">
        <is>
          <t>E340</t>
        </is>
      </c>
      <c r="E16" s="4" t="n">
        <v>2</v>
      </c>
      <c r="F16" s="4" t="inlineStr">
        <is>
          <t>ea</t>
        </is>
      </c>
      <c r="G16" s="15" t="n">
        <v>250</v>
      </c>
      <c r="H16" s="15">
        <f>E16*G16</f>
        <v/>
      </c>
      <c r="I16" s="4" t="inlineStr">
        <is>
          <t>Front/Rear entry</t>
        </is>
      </c>
      <c r="J16" s="4" t="inlineStr">
        <is>
          <t>A111</t>
        </is>
      </c>
    </row>
    <row r="17" ht="18" customHeight="1">
      <c r="A17" s="6" t="n">
        <v>15</v>
      </c>
      <c r="B17" s="6" t="inlineStr">
        <is>
          <t>POE Security Camera</t>
        </is>
      </c>
      <c r="C17" s="6" t="inlineStr">
        <is>
          <t>Eufy</t>
        </is>
      </c>
      <c r="D17" s="6" t="inlineStr">
        <is>
          <t>410 POE</t>
        </is>
      </c>
      <c r="E17" s="6" t="n">
        <v>11</v>
      </c>
      <c r="F17" s="6" t="inlineStr">
        <is>
          <t>ea</t>
        </is>
      </c>
      <c r="G17" s="16" t="n">
        <v>120</v>
      </c>
      <c r="H17" s="16">
        <f>E17*G17</f>
        <v/>
      </c>
      <c r="I17" s="6" t="inlineStr">
        <is>
          <t>Perimeter</t>
        </is>
      </c>
      <c r="J17" s="6" t="inlineStr">
        <is>
          <t>A111</t>
        </is>
      </c>
    </row>
    <row r="18" ht="18" customHeight="1">
      <c r="A18" s="4" t="n">
        <v>16</v>
      </c>
      <c r="B18" s="4" t="inlineStr">
        <is>
          <t>Video Server / POE NVR 2TB</t>
        </is>
      </c>
      <c r="C18" s="4" t="inlineStr">
        <is>
          <t>Eufy</t>
        </is>
      </c>
      <c r="D18" s="4" t="inlineStr">
        <is>
          <t>2TB NVR+PoE Switch</t>
        </is>
      </c>
      <c r="E18" s="4" t="n">
        <v>1</v>
      </c>
      <c r="F18" s="4" t="inlineStr">
        <is>
          <t>ea</t>
        </is>
      </c>
      <c r="G18" s="15" t="n">
        <v>350</v>
      </c>
      <c r="H18" s="15">
        <f>E18*G18</f>
        <v/>
      </c>
      <c r="I18" s="4" t="inlineStr">
        <is>
          <t>Mechanical/Comms</t>
        </is>
      </c>
      <c r="J18" s="4" t="inlineStr">
        <is>
          <t>A111</t>
        </is>
      </c>
    </row>
    <row r="19" ht="18" customHeight="1">
      <c r="A19" s="6" t="n">
        <v>17</v>
      </c>
      <c r="B19" s="6" t="inlineStr">
        <is>
          <t>Motorized Shade Motor 60 Series</t>
        </is>
      </c>
      <c r="C19" s="6" t="inlineStr">
        <is>
          <t>Somfy</t>
        </is>
      </c>
      <c r="D19" s="6" t="inlineStr">
        <is>
          <t>Sonesse 60 RS 485</t>
        </is>
      </c>
      <c r="E19" s="6" t="n">
        <v>4</v>
      </c>
      <c r="F19" s="6" t="inlineStr">
        <is>
          <t>ea</t>
        </is>
      </c>
      <c r="G19" s="16" t="n">
        <v>380</v>
      </c>
      <c r="H19" s="16">
        <f>E19*G19</f>
        <v/>
      </c>
      <c r="I19" s="6" t="inlineStr">
        <is>
          <t>Main + Upper</t>
        </is>
      </c>
      <c r="J19" s="6" t="inlineStr">
        <is>
          <t>A111/A112 — 2+2</t>
        </is>
      </c>
    </row>
    <row r="20" ht="18" customHeight="1">
      <c r="A20" s="4" t="n">
        <v>18</v>
      </c>
      <c r="B20" s="4" t="inlineStr">
        <is>
          <t>Motorized Shade Motor 100 Series</t>
        </is>
      </c>
      <c r="C20" s="4" t="inlineStr">
        <is>
          <t>Somfy</t>
        </is>
      </c>
      <c r="D20" s="4" t="inlineStr">
        <is>
          <t>Sonesse 100 RS 485</t>
        </is>
      </c>
      <c r="E20" s="4" t="n">
        <v>6</v>
      </c>
      <c r="F20" s="4" t="inlineStr">
        <is>
          <t>ea</t>
        </is>
      </c>
      <c r="G20" s="15" t="n">
        <v>520</v>
      </c>
      <c r="H20" s="15">
        <f>E20*G20</f>
        <v/>
      </c>
      <c r="I20" s="4" t="inlineStr">
        <is>
          <t>Main + Upper</t>
        </is>
      </c>
      <c r="J20" s="4" t="inlineStr">
        <is>
          <t>A111/A112 — 3+3</t>
        </is>
      </c>
    </row>
    <row r="21" ht="18" customHeight="1">
      <c r="A21" s="6" t="n">
        <v>19</v>
      </c>
      <c r="B21" s="6" t="inlineStr">
        <is>
          <t>Motorized Shade Motor 100 Hi Torque</t>
        </is>
      </c>
      <c r="C21" s="6" t="inlineStr">
        <is>
          <t>Somfy</t>
        </is>
      </c>
      <c r="D21" s="6" t="inlineStr">
        <is>
          <t>Sonesse 100 HT RS485</t>
        </is>
      </c>
      <c r="E21" s="6" t="n">
        <v>1</v>
      </c>
      <c r="F21" s="6" t="inlineStr">
        <is>
          <t>ea</t>
        </is>
      </c>
      <c r="G21" s="16" t="n">
        <v>680</v>
      </c>
      <c r="H21" s="16">
        <f>E21*G21</f>
        <v/>
      </c>
      <c r="I21" s="6" t="inlineStr">
        <is>
          <t>Upper heavy shade</t>
        </is>
      </c>
      <c r="J21" s="6" t="inlineStr">
        <is>
          <t>A112</t>
        </is>
      </c>
    </row>
    <row r="22" ht="18" customHeight="1">
      <c r="A22" s="4" t="n">
        <v>20</v>
      </c>
      <c r="B22" s="4" t="inlineStr">
        <is>
          <t>Shade/Blind Pocket rough-in</t>
        </is>
      </c>
      <c r="C22" s="4" t="inlineStr">
        <is>
          <t>—</t>
        </is>
      </c>
      <c r="D22" s="4" t="inlineStr">
        <is>
          <t>—</t>
        </is>
      </c>
      <c r="E22" s="4" t="n">
        <v>10</v>
      </c>
      <c r="F22" s="4" t="inlineStr">
        <is>
          <t>ea</t>
        </is>
      </c>
      <c r="G22" s="15" t="n">
        <v>85</v>
      </c>
      <c r="H22" s="15">
        <f>E22*G22</f>
        <v/>
      </c>
      <c r="I22" s="4" t="inlineStr">
        <is>
          <t>All blind locations</t>
        </is>
      </c>
      <c r="J22" s="4" t="inlineStr">
        <is>
          <t>A111/A112 — 4 main + 6 upper</t>
        </is>
      </c>
    </row>
    <row r="23" ht="22" customHeight="1">
      <c r="A23" s="17" t="inlineStr">
        <is>
          <t>SUBTOTAL — AV &amp; Automation</t>
        </is>
      </c>
      <c r="B23" s="22" t="n"/>
      <c r="C23" s="22" t="n"/>
      <c r="D23" s="22" t="n"/>
      <c r="E23" s="22" t="n"/>
      <c r="F23" s="22" t="n"/>
      <c r="G23" s="23" t="n"/>
      <c r="H23" s="18">
        <f>SUM(H3:H22)</f>
        <v/>
      </c>
      <c r="I23" s="19" t="n"/>
      <c r="J23" s="19" t="n"/>
    </row>
  </sheetData>
  <mergeCells count="2">
    <mergeCell ref="A1:J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2026-03-05T19:51:05Z</dcterms:created>
  <dcterms:modified xmlns:dcterms="http://purl.org/dc/terms/" xmlns:xsi="http://www.w3.org/2001/XMLSchema-instance" xsi:type="dcterms:W3CDTF">2026-03-05T21:57:30Z</dcterms:modified>
</cp:coreProperties>
</file>