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-Lighting" sheetId="2" state="visible" r:id="rId2"/>
    <sheet xmlns:r="http://schemas.openxmlformats.org/officeDocument/2006/relationships" name="2-Outlets Main" sheetId="3" state="visible" r:id="rId3"/>
    <sheet xmlns:r="http://schemas.openxmlformats.org/officeDocument/2006/relationships" name="3-Outlets Upper" sheetId="4" state="visible" r:id="rId4"/>
    <sheet xmlns:r="http://schemas.openxmlformats.org/officeDocument/2006/relationships" name="4-Outlets Basement" sheetId="5" state="visible" r:id="rId5"/>
    <sheet xmlns:r="http://schemas.openxmlformats.org/officeDocument/2006/relationships" name="5-Switches &amp; Dimmers" sheetId="6" state="visible" r:id="rId6"/>
    <sheet xmlns:r="http://schemas.openxmlformats.org/officeDocument/2006/relationships" name="6-Electrical Boxes" sheetId="7" state="visible" r:id="rId7"/>
    <sheet xmlns:r="http://schemas.openxmlformats.org/officeDocument/2006/relationships" name="7-Wire &amp; Cable" sheetId="8" state="visible" r:id="rId8"/>
    <sheet xmlns:r="http://schemas.openxmlformats.org/officeDocument/2006/relationships" name="8-Panels &amp; Controls" sheetId="9" state="visible" r:id="rId9"/>
    <sheet xmlns:r="http://schemas.openxmlformats.org/officeDocument/2006/relationships" name="9-Consumab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sz val="10"/>
    </font>
    <font>
      <b val="1"/>
      <color rgb="00FFFFFF"/>
      <sz val="11"/>
    </font>
    <font>
      <b val="1"/>
      <color rgb="00FFFFFF"/>
      <sz val="13"/>
    </font>
    <font>
      <i val="1"/>
      <sz val="10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9E1F2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/>
    </xf>
    <xf numFmtId="164" fontId="3" fillId="4" borderId="1" applyAlignment="1" pivotButton="0" quotePrefix="0" xfId="0">
      <alignment horizontal="right" vertical="center"/>
    </xf>
    <xf numFmtId="0" fontId="3" fillId="3" borderId="1" applyAlignment="1" pivotButton="0" quotePrefix="0" xfId="0">
      <alignment vertical="center"/>
    </xf>
    <xf numFmtId="164" fontId="3" fillId="3" borderId="1" applyAlignment="1" pivotButton="0" quotePrefix="0" xfId="0">
      <alignment horizontal="right" vertical="center"/>
    </xf>
    <xf numFmtId="0" fontId="1" fillId="2" borderId="1" applyAlignment="1" pivotButton="0" quotePrefix="0" xfId="0">
      <alignment horizontal="right" vertical="center"/>
    </xf>
    <xf numFmtId="164" fontId="1" fillId="2" borderId="1" applyAlignment="1" pivotButton="0" quotePrefix="0" xfId="0">
      <alignment horizontal="right" vertical="center"/>
    </xf>
    <xf numFmtId="0" fontId="7" fillId="0" borderId="1" pivotButton="0" quotePrefix="0" xfId="0"/>
    <xf numFmtId="164" fontId="7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164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164" fontId="3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22" customWidth="1" min="3" max="3"/>
  </cols>
  <sheetData>
    <row r="1" ht="28" customHeight="1">
      <c r="A1" s="1" t="inlineStr">
        <is>
          <t>RODRIGUEZ RESIDENCE — ELECTRICAL TAKEOFF SUMMARY</t>
        </is>
      </c>
    </row>
    <row r="2">
      <c r="A2" s="2" t="inlineStr">
        <is>
          <t>Oak Valley Estates Lot 5  |  RAC Development  |  3/5/2026</t>
        </is>
      </c>
    </row>
    <row r="3" ht="22" customHeight="1">
      <c r="A3" s="3" t="inlineStr">
        <is>
          <t>Section</t>
        </is>
      </c>
      <c r="B3" s="3" t="inlineStr">
        <is>
          <t>Supply Total</t>
        </is>
      </c>
      <c r="C3" s="3" t="inlineStr">
        <is>
          <t>Notes</t>
        </is>
      </c>
    </row>
    <row r="4" ht="18" customHeight="1">
      <c r="A4" s="4" t="inlineStr">
        <is>
          <t>1. Lighting Fixtures</t>
        </is>
      </c>
      <c r="B4" s="5">
        <f>'1-Lighting'!H15</f>
        <v/>
      </c>
      <c r="C4" s="4" t="inlineStr">
        <is>
          <t>24V recess can qty needs entry</t>
        </is>
      </c>
    </row>
    <row r="5" ht="18" customHeight="1">
      <c r="A5" s="6" t="inlineStr">
        <is>
          <t>2. Outlets &amp; Devices — Main</t>
        </is>
      </c>
      <c r="B5" s="7">
        <f>'2-Outlets Main'!H14</f>
        <v/>
      </c>
      <c r="C5" s="6" t="inlineStr"/>
    </row>
    <row r="6" ht="18" customHeight="1">
      <c r="A6" s="4" t="inlineStr">
        <is>
          <t>3. Outlets &amp; Devices — Upper</t>
        </is>
      </c>
      <c r="B6" s="5">
        <f>'3-Outlets Upper'!H13</f>
        <v/>
      </c>
      <c r="C6" s="4" t="inlineStr"/>
    </row>
    <row r="7" ht="18" customHeight="1">
      <c r="A7" s="6" t="inlineStr">
        <is>
          <t>4. Outlets &amp; Devices — Basement</t>
        </is>
      </c>
      <c r="B7" s="7">
        <f>'4-Outlets Basement'!H9</f>
        <v/>
      </c>
      <c r="C7" s="6" t="inlineStr"/>
    </row>
    <row r="8" ht="18" customHeight="1">
      <c r="A8" s="4" t="inlineStr">
        <is>
          <t>5. Switches &amp; Dimmers</t>
        </is>
      </c>
      <c r="B8" s="5">
        <f>'5-Switches &amp; Dimmers'!H15</f>
        <v/>
      </c>
      <c r="C8" s="4" t="inlineStr"/>
    </row>
    <row r="9" ht="18" customHeight="1">
      <c r="A9" s="6" t="inlineStr">
        <is>
          <t>6. Electrical Boxes</t>
        </is>
      </c>
      <c r="B9" s="7">
        <f>'6-Electrical Boxes'!H10</f>
        <v/>
      </c>
      <c r="C9" s="6" t="inlineStr"/>
    </row>
    <row r="10" ht="18" customHeight="1">
      <c r="A10" s="4" t="inlineStr">
        <is>
          <t>7. Wire &amp; Cable</t>
        </is>
      </c>
      <c r="B10" s="5">
        <f>'7-Wire &amp; Cable'!H15</f>
        <v/>
      </c>
      <c r="C10" s="4" t="inlineStr"/>
    </row>
    <row r="11" ht="18" customHeight="1">
      <c r="A11" s="6" t="inlineStr">
        <is>
          <t>8. Panels &amp; Controls</t>
        </is>
      </c>
      <c r="B11" s="7">
        <f>'8-Panels &amp; Controls'!H22</f>
        <v/>
      </c>
      <c r="C11" s="6" t="inlineStr"/>
    </row>
    <row r="12" ht="18" customHeight="1">
      <c r="A12" s="4" t="inlineStr">
        <is>
          <t>9. Consumables</t>
        </is>
      </c>
      <c r="B12" s="5">
        <f>'9-Consumables'!H23</f>
        <v/>
      </c>
      <c r="C12" s="4" t="inlineStr"/>
    </row>
    <row r="14" ht="24" customHeight="1">
      <c r="A14" s="8" t="inlineStr">
        <is>
          <t>TOTAL SUPPLY COST</t>
        </is>
      </c>
      <c r="B14" s="9">
        <f>SUM(B4:B12)</f>
        <v/>
      </c>
    </row>
    <row r="15" ht="22" customHeight="1">
      <c r="A15" s="10" t="inlineStr">
        <is>
          <t>Estimated Installed (supply x 2.5)</t>
        </is>
      </c>
      <c r="B15" s="11">
        <f>B14*2.5</f>
        <v/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22" customWidth="1" min="4" max="4"/>
    <col width="7" customWidth="1" min="5" max="5"/>
    <col width="7" customWidth="1" min="6" max="6"/>
    <col width="12" customWidth="1" min="7" max="7"/>
    <col width="14" customWidth="1" min="8" max="8"/>
    <col width="30" customWidth="1" min="9" max="9"/>
  </cols>
  <sheetData>
    <row r="1" ht="24" customHeight="1">
      <c r="A1" s="12" t="inlineStr">
        <is>
          <t>1-LIGHTING</t>
        </is>
      </c>
    </row>
    <row r="2" ht="30" customHeight="1">
      <c r="A2" s="13" t="inlineStr">
        <is>
          <t>#</t>
        </is>
      </c>
      <c r="B2" s="13" t="inlineStr">
        <is>
          <t>Item / Description</t>
        </is>
      </c>
      <c r="C2" s="13" t="inlineStr">
        <is>
          <t>Manufacturer</t>
        </is>
      </c>
      <c r="D2" s="13" t="inlineStr">
        <is>
          <t>Model / Part #</t>
        </is>
      </c>
      <c r="E2" s="13" t="inlineStr">
        <is>
          <t>Qty</t>
        </is>
      </c>
      <c r="F2" s="13" t="inlineStr">
        <is>
          <t>Unit</t>
        </is>
      </c>
      <c r="G2" s="13" t="inlineStr">
        <is>
          <t>Unit Price</t>
        </is>
      </c>
      <c r="H2" s="13" t="inlineStr">
        <is>
          <t>Extended</t>
        </is>
      </c>
      <c r="I2" s="13" t="inlineStr">
        <is>
          <t>Notes</t>
        </is>
      </c>
    </row>
    <row r="3" ht="18" customHeight="1">
      <c r="A3" s="14" t="n">
        <v>1</v>
      </c>
      <c r="B3" s="14" t="inlineStr">
        <is>
          <t>3.5" Recessed Wash — Main</t>
        </is>
      </c>
      <c r="C3" s="14" t="inlineStr">
        <is>
          <t>Focal Point</t>
        </is>
      </c>
      <c r="D3" s="14" t="inlineStr">
        <is>
          <t>FP3.5 / 7W</t>
        </is>
      </c>
      <c r="E3" s="14" t="n">
        <v>14</v>
      </c>
      <c r="F3" s="14" t="inlineStr">
        <is>
          <t>ea</t>
        </is>
      </c>
      <c r="G3" s="15" t="n">
        <v>185</v>
      </c>
      <c r="H3" s="15">
        <f>E3*G3</f>
        <v/>
      </c>
      <c r="I3" s="14" t="inlineStr">
        <is>
          <t>E102</t>
        </is>
      </c>
    </row>
    <row r="4" ht="18" customHeight="1">
      <c r="A4" s="16" t="n">
        <v>2</v>
      </c>
      <c r="B4" s="16" t="inlineStr">
        <is>
          <t>3.5" Recessed Wash — Upper/Lower</t>
        </is>
      </c>
      <c r="C4" s="16" t="inlineStr">
        <is>
          <t>Focal Point</t>
        </is>
      </c>
      <c r="D4" s="16" t="inlineStr">
        <is>
          <t>FP3.5 / 7W</t>
        </is>
      </c>
      <c r="E4" s="16" t="n">
        <v>129</v>
      </c>
      <c r="F4" s="16" t="inlineStr">
        <is>
          <t>ea</t>
        </is>
      </c>
      <c r="G4" s="17" t="n">
        <v>185</v>
      </c>
      <c r="H4" s="17">
        <f>E4*G4</f>
        <v/>
      </c>
      <c r="I4" s="16" t="inlineStr">
        <is>
          <t>E103</t>
        </is>
      </c>
    </row>
    <row r="5" ht="18" customHeight="1">
      <c r="A5" s="14" t="n">
        <v>3</v>
      </c>
      <c r="B5" s="14" t="inlineStr">
        <is>
          <t>3.5" Recessed Wash — Basement</t>
        </is>
      </c>
      <c r="C5" s="14" t="inlineStr">
        <is>
          <t>Focal Point</t>
        </is>
      </c>
      <c r="D5" s="14" t="inlineStr">
        <is>
          <t>FP3.5 / 7W</t>
        </is>
      </c>
      <c r="E5" s="14" t="n">
        <v>2</v>
      </c>
      <c r="F5" s="14" t="inlineStr">
        <is>
          <t>ea</t>
        </is>
      </c>
      <c r="G5" s="15" t="n">
        <v>185</v>
      </c>
      <c r="H5" s="15">
        <f>E5*G5</f>
        <v/>
      </c>
      <c r="I5" s="14" t="inlineStr">
        <is>
          <t>E103</t>
        </is>
      </c>
    </row>
    <row r="6" ht="18" customHeight="1">
      <c r="A6" s="16" t="n">
        <v>4</v>
      </c>
      <c r="B6" s="16" t="inlineStr">
        <is>
          <t>Motion Flush Recessed — Main</t>
        </is>
      </c>
      <c r="C6" s="16" t="inlineStr">
        <is>
          <t>XAL</t>
        </is>
      </c>
      <c r="D6" s="16" t="inlineStr">
        <is>
          <t>XAL M / 12W</t>
        </is>
      </c>
      <c r="E6" s="16" t="n">
        <v>13</v>
      </c>
      <c r="F6" s="16" t="inlineStr">
        <is>
          <t>ea</t>
        </is>
      </c>
      <c r="G6" s="17" t="n">
        <v>225</v>
      </c>
      <c r="H6" s="17">
        <f>E6*G6</f>
        <v/>
      </c>
      <c r="I6" s="16" t="inlineStr">
        <is>
          <t>E102</t>
        </is>
      </c>
    </row>
    <row r="7" ht="18" customHeight="1">
      <c r="A7" s="14" t="n">
        <v>5</v>
      </c>
      <c r="B7" s="14" t="inlineStr">
        <is>
          <t>Motion Flush Recessed — Upper/Lower</t>
        </is>
      </c>
      <c r="C7" s="14" t="inlineStr">
        <is>
          <t>XAL</t>
        </is>
      </c>
      <c r="D7" s="14" t="inlineStr">
        <is>
          <t>XAL M / 12W</t>
        </is>
      </c>
      <c r="E7" s="14" t="n">
        <v>9</v>
      </c>
      <c r="F7" s="14" t="inlineStr">
        <is>
          <t>ea</t>
        </is>
      </c>
      <c r="G7" s="15" t="n">
        <v>225</v>
      </c>
      <c r="H7" s="15">
        <f>E7*G7</f>
        <v/>
      </c>
      <c r="I7" s="14" t="inlineStr">
        <is>
          <t>E103</t>
        </is>
      </c>
    </row>
    <row r="8" ht="18" customHeight="1">
      <c r="A8" s="16" t="n">
        <v>6</v>
      </c>
      <c r="B8" s="16" t="inlineStr">
        <is>
          <t>Motion Flush Recessed — Basement</t>
        </is>
      </c>
      <c r="C8" s="16" t="inlineStr">
        <is>
          <t>XAL</t>
        </is>
      </c>
      <c r="D8" s="16" t="inlineStr">
        <is>
          <t>XAL M / 12W</t>
        </is>
      </c>
      <c r="E8" s="16" t="n">
        <v>1</v>
      </c>
      <c r="F8" s="16" t="inlineStr">
        <is>
          <t>ea</t>
        </is>
      </c>
      <c r="G8" s="17" t="n">
        <v>225</v>
      </c>
      <c r="H8" s="17">
        <f>E8*G8</f>
        <v/>
      </c>
      <c r="I8" s="16" t="inlineStr">
        <is>
          <t>E103</t>
        </is>
      </c>
    </row>
    <row r="9" ht="18" customHeight="1">
      <c r="A9" s="14" t="n">
        <v>7</v>
      </c>
      <c r="B9" s="14" t="inlineStr">
        <is>
          <t>Laundry Recessed Light</t>
        </is>
      </c>
      <c r="C9" s="14" t="inlineStr">
        <is>
          <t>XAL</t>
        </is>
      </c>
      <c r="D9" s="14" t="inlineStr">
        <is>
          <t>XAL Laundry / 7W</t>
        </is>
      </c>
      <c r="E9" s="14" t="n">
        <v>4</v>
      </c>
      <c r="F9" s="14" t="inlineStr">
        <is>
          <t>ea</t>
        </is>
      </c>
      <c r="G9" s="15" t="n">
        <v>150</v>
      </c>
      <c r="H9" s="15">
        <f>E9*G9</f>
        <v/>
      </c>
      <c r="I9" s="14" t="inlineStr">
        <is>
          <t>E103 Lvl 12</t>
        </is>
      </c>
    </row>
    <row r="10" ht="18" customHeight="1">
      <c r="A10" s="16" t="n">
        <v>8</v>
      </c>
      <c r="B10" s="16" t="inlineStr">
        <is>
          <t>LED Strip Pendant</t>
        </is>
      </c>
      <c r="C10" s="16" t="inlineStr">
        <is>
          <t>Fly Achilles</t>
        </is>
      </c>
      <c r="D10" s="16" t="inlineStr">
        <is>
          <t>Minimalist 16W</t>
        </is>
      </c>
      <c r="E10" s="16" t="n">
        <v>2</v>
      </c>
      <c r="F10" s="16" t="inlineStr">
        <is>
          <t>ea</t>
        </is>
      </c>
      <c r="G10" s="17" t="n">
        <v>500</v>
      </c>
      <c r="H10" s="17">
        <f>E10*G10</f>
        <v/>
      </c>
      <c r="I10" s="16" t="inlineStr">
        <is>
          <t>E103</t>
        </is>
      </c>
    </row>
    <row r="11" ht="18" customHeight="1">
      <c r="A11" s="14" t="n">
        <v>9</v>
      </c>
      <c r="B11" s="14" t="inlineStr">
        <is>
          <t>A-Tube Pendant</t>
        </is>
      </c>
      <c r="C11" s="14" t="inlineStr">
        <is>
          <t>Lightology</t>
        </is>
      </c>
      <c r="D11" s="14" t="inlineStr">
        <is>
          <t>A Tubes / 12W</t>
        </is>
      </c>
      <c r="E11" s="14" t="n">
        <v>4</v>
      </c>
      <c r="F11" s="14" t="inlineStr">
        <is>
          <t>ea</t>
        </is>
      </c>
      <c r="G11" s="15" t="n">
        <v>350</v>
      </c>
      <c r="H11" s="15">
        <f>E11*G11</f>
        <v/>
      </c>
      <c r="I11" s="14" t="inlineStr">
        <is>
          <t>E103</t>
        </is>
      </c>
    </row>
    <row r="12" ht="18" customHeight="1">
      <c r="A12" s="16" t="n">
        <v>10</v>
      </c>
      <c r="B12" s="16" t="inlineStr">
        <is>
          <t>Smart Mirror (elec connection)</t>
        </is>
      </c>
      <c r="C12" s="16" t="inlineStr">
        <is>
          <t>—</t>
        </is>
      </c>
      <c r="D12" s="16" t="inlineStr">
        <is>
          <t>—</t>
        </is>
      </c>
      <c r="E12" s="16" t="n">
        <v>1</v>
      </c>
      <c r="F12" s="16" t="inlineStr">
        <is>
          <t>ea</t>
        </is>
      </c>
      <c r="G12" s="17" t="n">
        <v>800</v>
      </c>
      <c r="H12" s="17">
        <f>E12*G12</f>
        <v/>
      </c>
      <c r="I12" s="16" t="inlineStr">
        <is>
          <t>E103 Basement</t>
        </is>
      </c>
    </row>
    <row r="13" ht="18" customHeight="1">
      <c r="A13" s="14" t="n">
        <v>11</v>
      </c>
      <c r="B13" s="14" t="inlineStr">
        <is>
          <t>IP65 RGBW LED Strip 24V</t>
        </is>
      </c>
      <c r="C13" s="14" t="inlineStr">
        <is>
          <t>—</t>
        </is>
      </c>
      <c r="D13" s="14" t="inlineStr">
        <is>
          <t>—</t>
        </is>
      </c>
      <c r="E13" s="14" t="n">
        <v>934</v>
      </c>
      <c r="F13" s="14" t="inlineStr">
        <is>
          <t>LF</t>
        </is>
      </c>
      <c r="G13" s="15" t="n">
        <v>8</v>
      </c>
      <c r="H13" s="15">
        <f>E13*G13</f>
        <v/>
      </c>
      <c r="I13" s="14" t="inlineStr">
        <is>
          <t>812 LF measured E102+E103 dims +15% waste</t>
        </is>
      </c>
    </row>
    <row r="14" ht="18" customHeight="1">
      <c r="A14" s="16" t="n">
        <v>12</v>
      </c>
      <c r="B14" s="16" t="inlineStr">
        <is>
          <t>24V RGBW Recessed Can</t>
        </is>
      </c>
      <c r="C14" s="16" t="inlineStr">
        <is>
          <t>—</t>
        </is>
      </c>
      <c r="D14" s="16" t="inlineStr">
        <is>
          <t>—</t>
        </is>
      </c>
      <c r="E14" s="16" t="n">
        <v>0</v>
      </c>
      <c r="F14" s="16" t="inlineStr">
        <is>
          <t>ea</t>
        </is>
      </c>
      <c r="G14" s="17" t="n">
        <v>65</v>
      </c>
      <c r="H14" s="17">
        <f>E14*G14</f>
        <v/>
      </c>
      <c r="I14" s="16" t="inlineStr">
        <is>
          <t>&gt;&gt;&gt; ENTER QTY FROM E102/E104 SCHEDULE &lt;&lt;&lt;</t>
        </is>
      </c>
    </row>
    <row r="15" ht="22" customHeight="1">
      <c r="A15" s="18" t="inlineStr">
        <is>
          <t>SUBTOTAL — 1-Lighting</t>
        </is>
      </c>
      <c r="H15" s="19">
        <f>SUM(H3:H14)</f>
        <v/>
      </c>
    </row>
  </sheetData>
  <mergeCells count="2">
    <mergeCell ref="A1:I1"/>
    <mergeCell ref="A15:G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22" customWidth="1" min="4" max="4"/>
    <col width="7" customWidth="1" min="5" max="5"/>
    <col width="7" customWidth="1" min="6" max="6"/>
    <col width="12" customWidth="1" min="7" max="7"/>
    <col width="14" customWidth="1" min="8" max="8"/>
    <col width="30" customWidth="1" min="9" max="9"/>
  </cols>
  <sheetData>
    <row r="1" ht="24" customHeight="1">
      <c r="A1" s="12" t="inlineStr">
        <is>
          <t>2-OUTLETS MAIN</t>
        </is>
      </c>
    </row>
    <row r="2" ht="30" customHeight="1">
      <c r="A2" s="13" t="inlineStr">
        <is>
          <t>#</t>
        </is>
      </c>
      <c r="B2" s="13" t="inlineStr">
        <is>
          <t>Item / Description</t>
        </is>
      </c>
      <c r="C2" s="13" t="inlineStr">
        <is>
          <t>Manufacturer</t>
        </is>
      </c>
      <c r="D2" s="13" t="inlineStr">
        <is>
          <t>Model / Part #</t>
        </is>
      </c>
      <c r="E2" s="13" t="inlineStr">
        <is>
          <t>Qty</t>
        </is>
      </c>
      <c r="F2" s="13" t="inlineStr">
        <is>
          <t>Unit</t>
        </is>
      </c>
      <c r="G2" s="13" t="inlineStr">
        <is>
          <t>Unit Price</t>
        </is>
      </c>
      <c r="H2" s="13" t="inlineStr">
        <is>
          <t>Extended</t>
        </is>
      </c>
      <c r="I2" s="13" t="inlineStr">
        <is>
          <t>Notes</t>
        </is>
      </c>
    </row>
    <row r="3" ht="18" customHeight="1">
      <c r="A3" s="14" t="n">
        <v>1</v>
      </c>
      <c r="B3" s="14" t="inlineStr">
        <is>
          <t>Duplex Outlet 15A/120V</t>
        </is>
      </c>
      <c r="C3" s="14" t="inlineStr">
        <is>
          <t>Leviton</t>
        </is>
      </c>
      <c r="D3" s="14" t="inlineStr">
        <is>
          <t>5320-W</t>
        </is>
      </c>
      <c r="E3" s="14" t="n">
        <v>32</v>
      </c>
      <c r="F3" s="14" t="inlineStr">
        <is>
          <t>ea</t>
        </is>
      </c>
      <c r="G3" s="15" t="n">
        <v>8</v>
      </c>
      <c r="H3" s="15">
        <f>E3*G3</f>
        <v/>
      </c>
      <c r="I3" s="14" t="inlineStr"/>
    </row>
    <row r="4" ht="18" customHeight="1">
      <c r="A4" s="16" t="n">
        <v>2</v>
      </c>
      <c r="B4" s="16" t="inlineStr">
        <is>
          <t>GFCI Outlet 20A — Countertop</t>
        </is>
      </c>
      <c r="C4" s="16" t="inlineStr">
        <is>
          <t>Leviton</t>
        </is>
      </c>
      <c r="D4" s="16" t="inlineStr">
        <is>
          <t>GFNT2-W</t>
        </is>
      </c>
      <c r="E4" s="16" t="n">
        <v>14</v>
      </c>
      <c r="F4" s="16" t="inlineStr">
        <is>
          <t>ea</t>
        </is>
      </c>
      <c r="G4" s="17" t="n">
        <v>20</v>
      </c>
      <c r="H4" s="17">
        <f>E4*G4</f>
        <v/>
      </c>
      <c r="I4" s="16" t="inlineStr"/>
    </row>
    <row r="5" ht="18" customHeight="1">
      <c r="A5" s="14" t="n">
        <v>3</v>
      </c>
      <c r="B5" s="14" t="inlineStr">
        <is>
          <t>GFCI Outlet 20A — Island</t>
        </is>
      </c>
      <c r="C5" s="14" t="inlineStr">
        <is>
          <t>Leviton</t>
        </is>
      </c>
      <c r="D5" s="14" t="inlineStr">
        <is>
          <t>GFNT2-W</t>
        </is>
      </c>
      <c r="E5" s="14" t="n">
        <v>4</v>
      </c>
      <c r="F5" s="14" t="inlineStr">
        <is>
          <t>ea</t>
        </is>
      </c>
      <c r="G5" s="15" t="n">
        <v>20</v>
      </c>
      <c r="H5" s="15">
        <f>E5*G5</f>
        <v/>
      </c>
      <c r="I5" s="14" t="inlineStr"/>
    </row>
    <row r="6" ht="18" customHeight="1">
      <c r="A6" s="16" t="n">
        <v>4</v>
      </c>
      <c r="B6" s="16" t="inlineStr">
        <is>
          <t>Floor Outlet (in-floor box)</t>
        </is>
      </c>
      <c r="C6" s="16" t="inlineStr">
        <is>
          <t>Hubbell</t>
        </is>
      </c>
      <c r="D6" s="16" t="inlineStr">
        <is>
          <t>S1CTRNIBK</t>
        </is>
      </c>
      <c r="E6" s="16" t="n">
        <v>7</v>
      </c>
      <c r="F6" s="16" t="inlineStr">
        <is>
          <t>ea</t>
        </is>
      </c>
      <c r="G6" s="17" t="n">
        <v>65</v>
      </c>
      <c r="H6" s="17">
        <f>E6*G6</f>
        <v/>
      </c>
      <c r="I6" s="16" t="inlineStr"/>
    </row>
    <row r="7" ht="18" customHeight="1">
      <c r="A7" s="14" t="n">
        <v>5</v>
      </c>
      <c r="B7" s="14" t="inlineStr">
        <is>
          <t>Range Outlet 50A/240V</t>
        </is>
      </c>
      <c r="C7" s="14" t="inlineStr">
        <is>
          <t>Leviton</t>
        </is>
      </c>
      <c r="D7" s="14" t="inlineStr">
        <is>
          <t>5051-S</t>
        </is>
      </c>
      <c r="E7" s="14" t="n">
        <v>5</v>
      </c>
      <c r="F7" s="14" t="inlineStr">
        <is>
          <t>ea</t>
        </is>
      </c>
      <c r="G7" s="15" t="n">
        <v>25</v>
      </c>
      <c r="H7" s="15">
        <f>E7*G7</f>
        <v/>
      </c>
      <c r="I7" s="14" t="inlineStr"/>
    </row>
    <row r="8" ht="18" customHeight="1">
      <c r="A8" s="16" t="n">
        <v>6</v>
      </c>
      <c r="B8" s="16" t="inlineStr">
        <is>
          <t>Stack Outlet 30A/240V</t>
        </is>
      </c>
      <c r="C8" s="16" t="inlineStr">
        <is>
          <t>Leviton</t>
        </is>
      </c>
      <c r="D8" s="16" t="inlineStr">
        <is>
          <t>4700-S</t>
        </is>
      </c>
      <c r="E8" s="16" t="n">
        <v>3</v>
      </c>
      <c r="F8" s="16" t="inlineStr">
        <is>
          <t>ea</t>
        </is>
      </c>
      <c r="G8" s="17" t="n">
        <v>20</v>
      </c>
      <c r="H8" s="17">
        <f>E8*G8</f>
        <v/>
      </c>
      <c r="I8" s="16" t="inlineStr"/>
    </row>
    <row r="9" ht="18" customHeight="1">
      <c r="A9" s="14" t="n">
        <v>7</v>
      </c>
      <c r="B9" s="14" t="inlineStr">
        <is>
          <t>Weatherproof GFCI Outlet</t>
        </is>
      </c>
      <c r="C9" s="14" t="inlineStr">
        <is>
          <t>Leviton</t>
        </is>
      </c>
      <c r="D9" s="14" t="inlineStr">
        <is>
          <t>GFWF1-W</t>
        </is>
      </c>
      <c r="E9" s="14" t="n">
        <v>9</v>
      </c>
      <c r="F9" s="14" t="inlineStr">
        <is>
          <t>ea</t>
        </is>
      </c>
      <c r="G9" s="15" t="n">
        <v>30</v>
      </c>
      <c r="H9" s="15">
        <f>E9*G9</f>
        <v/>
      </c>
      <c r="I9" s="14" t="inlineStr"/>
    </row>
    <row r="10" ht="18" customHeight="1">
      <c r="A10" s="16" t="n">
        <v>8</v>
      </c>
      <c r="B10" s="16" t="inlineStr">
        <is>
          <t>Microwave Outlet 20A/120V</t>
        </is>
      </c>
      <c r="C10" s="16" t="inlineStr">
        <is>
          <t>Leviton</t>
        </is>
      </c>
      <c r="D10" s="16" t="inlineStr">
        <is>
          <t>5362-W</t>
        </is>
      </c>
      <c r="E10" s="16" t="n">
        <v>1</v>
      </c>
      <c r="F10" s="16" t="inlineStr">
        <is>
          <t>ea</t>
        </is>
      </c>
      <c r="G10" s="17" t="n">
        <v>15</v>
      </c>
      <c r="H10" s="17">
        <f>E10*G10</f>
        <v/>
      </c>
      <c r="I10" s="16" t="inlineStr"/>
    </row>
    <row r="11" ht="18" customHeight="1">
      <c r="A11" s="14" t="n">
        <v>9</v>
      </c>
      <c r="B11" s="14" t="inlineStr">
        <is>
          <t>Communication/Duplex Outlet</t>
        </is>
      </c>
      <c r="C11" s="14" t="inlineStr">
        <is>
          <t>LeGrand</t>
        </is>
      </c>
      <c r="D11" s="14" t="inlineStr">
        <is>
          <t>Cat9 &amp; 120 duplex</t>
        </is>
      </c>
      <c r="E11" s="14" t="n">
        <v>10</v>
      </c>
      <c r="F11" s="14" t="inlineStr">
        <is>
          <t>ea</t>
        </is>
      </c>
      <c r="G11" s="15" t="n">
        <v>45</v>
      </c>
      <c r="H11" s="15">
        <f>E11*G11</f>
        <v/>
      </c>
      <c r="I11" s="14" t="inlineStr"/>
    </row>
    <row r="12" ht="18" customHeight="1">
      <c r="A12" s="16" t="n">
        <v>10</v>
      </c>
      <c r="B12" s="16" t="inlineStr">
        <is>
          <t>LAN Drop Cat6A</t>
        </is>
      </c>
      <c r="C12" s="16" t="inlineStr">
        <is>
          <t>RAC</t>
        </is>
      </c>
      <c r="D12" s="16" t="inlineStr">
        <is>
          <t>LAN1</t>
        </is>
      </c>
      <c r="E12" s="16" t="n">
        <v>14</v>
      </c>
      <c r="F12" s="16" t="inlineStr">
        <is>
          <t>ea</t>
        </is>
      </c>
      <c r="G12" s="17" t="n">
        <v>35</v>
      </c>
      <c r="H12" s="17">
        <f>E12*G12</f>
        <v/>
      </c>
      <c r="I12" s="16" t="inlineStr"/>
    </row>
    <row r="13" ht="18" customHeight="1">
      <c r="A13" s="14" t="n">
        <v>11</v>
      </c>
      <c r="B13" s="14" t="inlineStr">
        <is>
          <t>Axion 8" Android PoE Touch Screen</t>
        </is>
      </c>
      <c r="C13" s="14" t="inlineStr">
        <is>
          <t>Axion</t>
        </is>
      </c>
      <c r="D13" s="14" t="inlineStr">
        <is>
          <t>8" PoE Android</t>
        </is>
      </c>
      <c r="E13" s="14" t="n">
        <v>4</v>
      </c>
      <c r="F13" s="14" t="inlineStr">
        <is>
          <t>ea</t>
        </is>
      </c>
      <c r="G13" s="15" t="n">
        <v>450</v>
      </c>
      <c r="H13" s="15">
        <f>E13*G13</f>
        <v/>
      </c>
      <c r="I13" s="14" t="inlineStr"/>
    </row>
    <row r="14" ht="22" customHeight="1">
      <c r="A14" s="18" t="inlineStr">
        <is>
          <t>SUBTOTAL — 2-Outlets Main</t>
        </is>
      </c>
      <c r="H14" s="19">
        <f>SUM(H3:H13)</f>
        <v/>
      </c>
    </row>
  </sheetData>
  <mergeCells count="2">
    <mergeCell ref="A1:I1"/>
    <mergeCell ref="A14:G1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22" customWidth="1" min="4" max="4"/>
    <col width="7" customWidth="1" min="5" max="5"/>
    <col width="7" customWidth="1" min="6" max="6"/>
    <col width="12" customWidth="1" min="7" max="7"/>
    <col width="14" customWidth="1" min="8" max="8"/>
    <col width="30" customWidth="1" min="9" max="9"/>
  </cols>
  <sheetData>
    <row r="1" ht="24" customHeight="1">
      <c r="A1" s="12" t="inlineStr">
        <is>
          <t>3-OUTLETS UPPER</t>
        </is>
      </c>
    </row>
    <row r="2" ht="30" customHeight="1">
      <c r="A2" s="13" t="inlineStr">
        <is>
          <t>#</t>
        </is>
      </c>
      <c r="B2" s="13" t="inlineStr">
        <is>
          <t>Item / Description</t>
        </is>
      </c>
      <c r="C2" s="13" t="inlineStr">
        <is>
          <t>Manufacturer</t>
        </is>
      </c>
      <c r="D2" s="13" t="inlineStr">
        <is>
          <t>Model / Part #</t>
        </is>
      </c>
      <c r="E2" s="13" t="inlineStr">
        <is>
          <t>Qty</t>
        </is>
      </c>
      <c r="F2" s="13" t="inlineStr">
        <is>
          <t>Unit</t>
        </is>
      </c>
      <c r="G2" s="13" t="inlineStr">
        <is>
          <t>Unit Price</t>
        </is>
      </c>
      <c r="H2" s="13" t="inlineStr">
        <is>
          <t>Extended</t>
        </is>
      </c>
      <c r="I2" s="13" t="inlineStr">
        <is>
          <t>Notes</t>
        </is>
      </c>
    </row>
    <row r="3" ht="18" customHeight="1">
      <c r="A3" s="14" t="n">
        <v>1</v>
      </c>
      <c r="B3" s="14" t="inlineStr">
        <is>
          <t>Duplex Outlet 15A/120V</t>
        </is>
      </c>
      <c r="C3" s="14" t="inlineStr">
        <is>
          <t>Leviton</t>
        </is>
      </c>
      <c r="D3" s="14" t="inlineStr">
        <is>
          <t>5320-W</t>
        </is>
      </c>
      <c r="E3" s="14" t="n">
        <v>11</v>
      </c>
      <c r="F3" s="14" t="inlineStr">
        <is>
          <t>ea</t>
        </is>
      </c>
      <c r="G3" s="15" t="n">
        <v>8</v>
      </c>
      <c r="H3" s="15">
        <f>E3*G3</f>
        <v/>
      </c>
      <c r="I3" s="14" t="inlineStr"/>
    </row>
    <row r="4" ht="18" customHeight="1">
      <c r="A4" s="16" t="n">
        <v>2</v>
      </c>
      <c r="B4" s="16" t="inlineStr">
        <is>
          <t>GFCI Outlet — Countertop</t>
        </is>
      </c>
      <c r="C4" s="16" t="inlineStr">
        <is>
          <t>Leviton</t>
        </is>
      </c>
      <c r="D4" s="16" t="inlineStr">
        <is>
          <t>GFNT2-W</t>
        </is>
      </c>
      <c r="E4" s="16" t="n">
        <v>1</v>
      </c>
      <c r="F4" s="16" t="inlineStr">
        <is>
          <t>ea</t>
        </is>
      </c>
      <c r="G4" s="17" t="n">
        <v>20</v>
      </c>
      <c r="H4" s="17">
        <f>E4*G4</f>
        <v/>
      </c>
      <c r="I4" s="16" t="inlineStr"/>
    </row>
    <row r="5" ht="18" customHeight="1">
      <c r="A5" s="14" t="n">
        <v>3</v>
      </c>
      <c r="B5" s="14" t="inlineStr">
        <is>
          <t>GFCI Outlet — Island</t>
        </is>
      </c>
      <c r="C5" s="14" t="inlineStr">
        <is>
          <t>Leviton</t>
        </is>
      </c>
      <c r="D5" s="14" t="inlineStr">
        <is>
          <t>GFNT2-W</t>
        </is>
      </c>
      <c r="E5" s="14" t="n">
        <v>2</v>
      </c>
      <c r="F5" s="14" t="inlineStr">
        <is>
          <t>ea</t>
        </is>
      </c>
      <c r="G5" s="15" t="n">
        <v>20</v>
      </c>
      <c r="H5" s="15">
        <f>E5*G5</f>
        <v/>
      </c>
      <c r="I5" s="14" t="inlineStr"/>
    </row>
    <row r="6" ht="18" customHeight="1">
      <c r="A6" s="16" t="n">
        <v>4</v>
      </c>
      <c r="B6" s="16" t="inlineStr">
        <is>
          <t>Ceiling Outlet</t>
        </is>
      </c>
      <c r="C6" s="16" t="inlineStr">
        <is>
          <t>Leviton</t>
        </is>
      </c>
      <c r="D6" s="16" t="inlineStr">
        <is>
          <t>5320-W</t>
        </is>
      </c>
      <c r="E6" s="16" t="n">
        <v>1</v>
      </c>
      <c r="F6" s="16" t="inlineStr">
        <is>
          <t>ea</t>
        </is>
      </c>
      <c r="G6" s="17" t="n">
        <v>15</v>
      </c>
      <c r="H6" s="17">
        <f>E6*G6</f>
        <v/>
      </c>
      <c r="I6" s="16" t="inlineStr"/>
    </row>
    <row r="7" ht="18" customHeight="1">
      <c r="A7" s="14" t="n">
        <v>5</v>
      </c>
      <c r="B7" s="14" t="inlineStr">
        <is>
          <t>Dryer Outlet 30A/240V</t>
        </is>
      </c>
      <c r="C7" s="14" t="inlineStr">
        <is>
          <t>Leviton</t>
        </is>
      </c>
      <c r="D7" s="14" t="inlineStr">
        <is>
          <t>4700-S</t>
        </is>
      </c>
      <c r="E7" s="14" t="n">
        <v>1</v>
      </c>
      <c r="F7" s="14" t="inlineStr">
        <is>
          <t>ea</t>
        </is>
      </c>
      <c r="G7" s="15" t="n">
        <v>20</v>
      </c>
      <c r="H7" s="15">
        <f>E7*G7</f>
        <v/>
      </c>
      <c r="I7" s="14" t="inlineStr"/>
    </row>
    <row r="8" ht="18" customHeight="1">
      <c r="A8" s="16" t="n">
        <v>6</v>
      </c>
      <c r="B8" s="16" t="inlineStr">
        <is>
          <t>Hybrid Water Heater Outlet 240V</t>
        </is>
      </c>
      <c r="C8" s="16" t="inlineStr">
        <is>
          <t>Leviton</t>
        </is>
      </c>
      <c r="D8" s="16" t="inlineStr">
        <is>
          <t>5051-S</t>
        </is>
      </c>
      <c r="E8" s="16" t="n">
        <v>1</v>
      </c>
      <c r="F8" s="16" t="inlineStr">
        <is>
          <t>ea</t>
        </is>
      </c>
      <c r="G8" s="17" t="n">
        <v>20</v>
      </c>
      <c r="H8" s="17">
        <f>E8*G8</f>
        <v/>
      </c>
      <c r="I8" s="16" t="inlineStr"/>
    </row>
    <row r="9" ht="18" customHeight="1">
      <c r="A9" s="14" t="n">
        <v>7</v>
      </c>
      <c r="B9" s="14" t="inlineStr">
        <is>
          <t>Weatherproof Outlet</t>
        </is>
      </c>
      <c r="C9" s="14" t="inlineStr">
        <is>
          <t>Leviton</t>
        </is>
      </c>
      <c r="D9" s="14" t="inlineStr">
        <is>
          <t>GFWF1-W</t>
        </is>
      </c>
      <c r="E9" s="14" t="n">
        <v>4</v>
      </c>
      <c r="F9" s="14" t="inlineStr">
        <is>
          <t>ea</t>
        </is>
      </c>
      <c r="G9" s="15" t="n">
        <v>30</v>
      </c>
      <c r="H9" s="15">
        <f>E9*G9</f>
        <v/>
      </c>
      <c r="I9" s="14" t="inlineStr"/>
    </row>
    <row r="10" ht="18" customHeight="1">
      <c r="A10" s="16" t="n">
        <v>8</v>
      </c>
      <c r="B10" s="16" t="inlineStr">
        <is>
          <t>Communication/Duplex Outlet</t>
        </is>
      </c>
      <c r="C10" s="16" t="inlineStr">
        <is>
          <t>LeGrand</t>
        </is>
      </c>
      <c r="D10" s="16" t="inlineStr">
        <is>
          <t>Cat9 &amp; 120 duplex</t>
        </is>
      </c>
      <c r="E10" s="16" t="n">
        <v>4</v>
      </c>
      <c r="F10" s="16" t="inlineStr">
        <is>
          <t>ea</t>
        </is>
      </c>
      <c r="G10" s="17" t="n">
        <v>45</v>
      </c>
      <c r="H10" s="17">
        <f>E10*G10</f>
        <v/>
      </c>
      <c r="I10" s="16" t="inlineStr"/>
    </row>
    <row r="11" ht="18" customHeight="1">
      <c r="A11" s="14" t="n">
        <v>9</v>
      </c>
      <c r="B11" s="14" t="inlineStr">
        <is>
          <t>LAN Drop Cat6A</t>
        </is>
      </c>
      <c r="C11" s="14" t="inlineStr">
        <is>
          <t>RAC</t>
        </is>
      </c>
      <c r="D11" s="14" t="inlineStr">
        <is>
          <t>LAN1</t>
        </is>
      </c>
      <c r="E11" s="14" t="n">
        <v>5</v>
      </c>
      <c r="F11" s="14" t="inlineStr">
        <is>
          <t>ea</t>
        </is>
      </c>
      <c r="G11" s="15" t="n">
        <v>35</v>
      </c>
      <c r="H11" s="15">
        <f>E11*G11</f>
        <v/>
      </c>
      <c r="I11" s="14" t="inlineStr"/>
    </row>
    <row r="12" ht="18" customHeight="1">
      <c r="A12" s="16" t="n">
        <v>10</v>
      </c>
      <c r="B12" s="16" t="inlineStr">
        <is>
          <t>Axion 8" Android PoE Touch Screen</t>
        </is>
      </c>
      <c r="C12" s="16" t="inlineStr">
        <is>
          <t>Axion</t>
        </is>
      </c>
      <c r="D12" s="16" t="inlineStr">
        <is>
          <t>8" PoE Android</t>
        </is>
      </c>
      <c r="E12" s="16" t="n">
        <v>3</v>
      </c>
      <c r="F12" s="16" t="inlineStr">
        <is>
          <t>ea</t>
        </is>
      </c>
      <c r="G12" s="17" t="n">
        <v>450</v>
      </c>
      <c r="H12" s="17">
        <f>E12*G12</f>
        <v/>
      </c>
      <c r="I12" s="16" t="inlineStr"/>
    </row>
    <row r="13" ht="22" customHeight="1">
      <c r="A13" s="18" t="inlineStr">
        <is>
          <t>SUBTOTAL — 3-Outlets Upper</t>
        </is>
      </c>
      <c r="H13" s="19">
        <f>SUM(H3:H12)</f>
        <v/>
      </c>
    </row>
  </sheetData>
  <mergeCells count="2">
    <mergeCell ref="A1:I1"/>
    <mergeCell ref="A13:G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22" customWidth="1" min="4" max="4"/>
    <col width="7" customWidth="1" min="5" max="5"/>
    <col width="7" customWidth="1" min="6" max="6"/>
    <col width="12" customWidth="1" min="7" max="7"/>
    <col width="14" customWidth="1" min="8" max="8"/>
    <col width="30" customWidth="1" min="9" max="9"/>
  </cols>
  <sheetData>
    <row r="1" ht="24" customHeight="1">
      <c r="A1" s="12" t="inlineStr">
        <is>
          <t>4-OUTLETS BASEMENT</t>
        </is>
      </c>
    </row>
    <row r="2" ht="30" customHeight="1">
      <c r="A2" s="13" t="inlineStr">
        <is>
          <t>#</t>
        </is>
      </c>
      <c r="B2" s="13" t="inlineStr">
        <is>
          <t>Item / Description</t>
        </is>
      </c>
      <c r="C2" s="13" t="inlineStr">
        <is>
          <t>Manufacturer</t>
        </is>
      </c>
      <c r="D2" s="13" t="inlineStr">
        <is>
          <t>Model / Part #</t>
        </is>
      </c>
      <c r="E2" s="13" t="inlineStr">
        <is>
          <t>Qty</t>
        </is>
      </c>
      <c r="F2" s="13" t="inlineStr">
        <is>
          <t>Unit</t>
        </is>
      </c>
      <c r="G2" s="13" t="inlineStr">
        <is>
          <t>Unit Price</t>
        </is>
      </c>
      <c r="H2" s="13" t="inlineStr">
        <is>
          <t>Extended</t>
        </is>
      </c>
      <c r="I2" s="13" t="inlineStr">
        <is>
          <t>Notes</t>
        </is>
      </c>
    </row>
    <row r="3" ht="18" customHeight="1">
      <c r="A3" s="14" t="n">
        <v>1</v>
      </c>
      <c r="B3" s="14" t="inlineStr">
        <is>
          <t>Duplex Outlet 15A/120V</t>
        </is>
      </c>
      <c r="C3" s="14" t="inlineStr">
        <is>
          <t>Leviton</t>
        </is>
      </c>
      <c r="D3" s="14" t="inlineStr">
        <is>
          <t>5320-W</t>
        </is>
      </c>
      <c r="E3" s="14" t="n">
        <v>10</v>
      </c>
      <c r="F3" s="14" t="inlineStr">
        <is>
          <t>ea</t>
        </is>
      </c>
      <c r="G3" s="15" t="n">
        <v>8</v>
      </c>
      <c r="H3" s="15">
        <f>E3*G3</f>
        <v/>
      </c>
      <c r="I3" s="14" t="inlineStr"/>
    </row>
    <row r="4" ht="18" customHeight="1">
      <c r="A4" s="16" t="n">
        <v>2</v>
      </c>
      <c r="B4" s="16" t="inlineStr">
        <is>
          <t>GFCI Outlet — Countertop</t>
        </is>
      </c>
      <c r="C4" s="16" t="inlineStr">
        <is>
          <t>Leviton</t>
        </is>
      </c>
      <c r="D4" s="16" t="inlineStr">
        <is>
          <t>GFNT2-W</t>
        </is>
      </c>
      <c r="E4" s="16" t="n">
        <v>3</v>
      </c>
      <c r="F4" s="16" t="inlineStr">
        <is>
          <t>ea</t>
        </is>
      </c>
      <c r="G4" s="17" t="n">
        <v>20</v>
      </c>
      <c r="H4" s="17">
        <f>E4*G4</f>
        <v/>
      </c>
      <c r="I4" s="16" t="inlineStr"/>
    </row>
    <row r="5" ht="18" customHeight="1">
      <c r="A5" s="14" t="n">
        <v>3</v>
      </c>
      <c r="B5" s="14" t="inlineStr">
        <is>
          <t>Ceiling Outlet</t>
        </is>
      </c>
      <c r="C5" s="14" t="inlineStr">
        <is>
          <t>Leviton</t>
        </is>
      </c>
      <c r="D5" s="14" t="inlineStr">
        <is>
          <t>5320-W</t>
        </is>
      </c>
      <c r="E5" s="14" t="n">
        <v>3</v>
      </c>
      <c r="F5" s="14" t="inlineStr">
        <is>
          <t>ea</t>
        </is>
      </c>
      <c r="G5" s="15" t="n">
        <v>15</v>
      </c>
      <c r="H5" s="15">
        <f>E5*G5</f>
        <v/>
      </c>
      <c r="I5" s="14" t="inlineStr"/>
    </row>
    <row r="6" ht="18" customHeight="1">
      <c r="A6" s="16" t="n">
        <v>4</v>
      </c>
      <c r="B6" s="16" t="inlineStr">
        <is>
          <t>Communication/Duplex Outlet</t>
        </is>
      </c>
      <c r="C6" s="16" t="inlineStr">
        <is>
          <t>LeGrand</t>
        </is>
      </c>
      <c r="D6" s="16" t="inlineStr">
        <is>
          <t>Cat9 &amp; 120 duplex</t>
        </is>
      </c>
      <c r="E6" s="16" t="n">
        <v>1</v>
      </c>
      <c r="F6" s="16" t="inlineStr">
        <is>
          <t>ea</t>
        </is>
      </c>
      <c r="G6" s="17" t="n">
        <v>45</v>
      </c>
      <c r="H6" s="17">
        <f>E6*G6</f>
        <v/>
      </c>
      <c r="I6" s="16" t="inlineStr"/>
    </row>
    <row r="7" ht="18" customHeight="1">
      <c r="A7" s="14" t="n">
        <v>5</v>
      </c>
      <c r="B7" s="14" t="inlineStr">
        <is>
          <t>LAN Drop Cat6A</t>
        </is>
      </c>
      <c r="C7" s="14" t="inlineStr">
        <is>
          <t>RAC</t>
        </is>
      </c>
      <c r="D7" s="14" t="inlineStr">
        <is>
          <t>LAN1</t>
        </is>
      </c>
      <c r="E7" s="14" t="n">
        <v>3</v>
      </c>
      <c r="F7" s="14" t="inlineStr">
        <is>
          <t>ea</t>
        </is>
      </c>
      <c r="G7" s="15" t="n">
        <v>35</v>
      </c>
      <c r="H7" s="15">
        <f>E7*G7</f>
        <v/>
      </c>
      <c r="I7" s="14" t="inlineStr"/>
    </row>
    <row r="8" ht="18" customHeight="1">
      <c r="A8" s="16" t="n">
        <v>6</v>
      </c>
      <c r="B8" s="16" t="inlineStr">
        <is>
          <t>Axion 8" Android PoE Touch Screen</t>
        </is>
      </c>
      <c r="C8" s="16" t="inlineStr">
        <is>
          <t>Axion</t>
        </is>
      </c>
      <c r="D8" s="16" t="inlineStr">
        <is>
          <t>8" PoE Android</t>
        </is>
      </c>
      <c r="E8" s="16" t="n">
        <v>1</v>
      </c>
      <c r="F8" s="16" t="inlineStr">
        <is>
          <t>ea</t>
        </is>
      </c>
      <c r="G8" s="17" t="n">
        <v>450</v>
      </c>
      <c r="H8" s="17">
        <f>E8*G8</f>
        <v/>
      </c>
      <c r="I8" s="16" t="inlineStr"/>
    </row>
    <row r="9" ht="22" customHeight="1">
      <c r="A9" s="18" t="inlineStr">
        <is>
          <t>SUBTOTAL — 4-Outlets Basement</t>
        </is>
      </c>
      <c r="H9" s="19">
        <f>SUM(H3:H8)</f>
        <v/>
      </c>
    </row>
  </sheetData>
  <mergeCells count="2">
    <mergeCell ref="A1:I1"/>
    <mergeCell ref="A9:G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22" customWidth="1" min="4" max="4"/>
    <col width="7" customWidth="1" min="5" max="5"/>
    <col width="7" customWidth="1" min="6" max="6"/>
    <col width="12" customWidth="1" min="7" max="7"/>
    <col width="14" customWidth="1" min="8" max="8"/>
    <col width="30" customWidth="1" min="9" max="9"/>
  </cols>
  <sheetData>
    <row r="1" ht="24" customHeight="1">
      <c r="A1" s="12" t="inlineStr">
        <is>
          <t>5-SWITCHES &amp; DIMMERS</t>
        </is>
      </c>
    </row>
    <row r="2" ht="30" customHeight="1">
      <c r="A2" s="13" t="inlineStr">
        <is>
          <t>#</t>
        </is>
      </c>
      <c r="B2" s="13" t="inlineStr">
        <is>
          <t>Item / Description</t>
        </is>
      </c>
      <c r="C2" s="13" t="inlineStr">
        <is>
          <t>Manufacturer</t>
        </is>
      </c>
      <c r="D2" s="13" t="inlineStr">
        <is>
          <t>Model / Part #</t>
        </is>
      </c>
      <c r="E2" s="13" t="inlineStr">
        <is>
          <t>Qty</t>
        </is>
      </c>
      <c r="F2" s="13" t="inlineStr">
        <is>
          <t>Unit</t>
        </is>
      </c>
      <c r="G2" s="13" t="inlineStr">
        <is>
          <t>Unit Price</t>
        </is>
      </c>
      <c r="H2" s="13" t="inlineStr">
        <is>
          <t>Extended</t>
        </is>
      </c>
      <c r="I2" s="13" t="inlineStr">
        <is>
          <t>Notes</t>
        </is>
      </c>
    </row>
    <row r="3" ht="18" customHeight="1">
      <c r="A3" s="14" t="n">
        <v>1</v>
      </c>
      <c r="B3" s="14" t="inlineStr">
        <is>
          <t>Smart Dimmer LVC Wall Controller</t>
        </is>
      </c>
      <c r="C3" s="14" t="inlineStr">
        <is>
          <t>Leviton</t>
        </is>
      </c>
      <c r="D3" s="14" t="inlineStr">
        <is>
          <t>DDL06-1LZ</t>
        </is>
      </c>
      <c r="E3" s="14" t="n">
        <v>11</v>
      </c>
      <c r="F3" s="14" t="inlineStr">
        <is>
          <t>ea</t>
        </is>
      </c>
      <c r="G3" s="15" t="n">
        <v>65</v>
      </c>
      <c r="H3" s="15">
        <f>E3*G3</f>
        <v/>
      </c>
      <c r="I3" s="14" t="inlineStr">
        <is>
          <t>LVC: P1x3 P2x3 P3x4 P4x1</t>
        </is>
      </c>
    </row>
    <row r="4" ht="18" customHeight="1">
      <c r="A4" s="16" t="n">
        <v>2</v>
      </c>
      <c r="B4" s="16" t="inlineStr">
        <is>
          <t>Smart Switch Module LVM Load Ctrl</t>
        </is>
      </c>
      <c r="C4" s="16" t="inlineStr">
        <is>
          <t>Leviton</t>
        </is>
      </c>
      <c r="D4" s="16" t="inlineStr">
        <is>
          <t>DSL06-1LZ</t>
        </is>
      </c>
      <c r="E4" s="16" t="n">
        <v>23</v>
      </c>
      <c r="F4" s="16" t="inlineStr">
        <is>
          <t>ea</t>
        </is>
      </c>
      <c r="G4" s="17" t="n">
        <v>55</v>
      </c>
      <c r="H4" s="17">
        <f>E4*G4</f>
        <v/>
      </c>
      <c r="I4" s="16" t="inlineStr">
        <is>
          <t>LVM: P1x7 P2x5 P3x4 P4x7</t>
        </is>
      </c>
    </row>
    <row r="5" ht="18" customHeight="1">
      <c r="A5" s="14" t="n">
        <v>3</v>
      </c>
      <c r="B5" s="14" t="inlineStr">
        <is>
          <t>Smart Dimmer LVD in-line</t>
        </is>
      </c>
      <c r="C5" s="14" t="inlineStr">
        <is>
          <t>Leviton</t>
        </is>
      </c>
      <c r="D5" s="14" t="inlineStr">
        <is>
          <t>DDL06-1LZ</t>
        </is>
      </c>
      <c r="E5" s="14" t="n">
        <v>2</v>
      </c>
      <c r="F5" s="14" t="inlineStr">
        <is>
          <t>ea</t>
        </is>
      </c>
      <c r="G5" s="15" t="n">
        <v>65</v>
      </c>
      <c r="H5" s="15">
        <f>E5*G5</f>
        <v/>
      </c>
      <c r="I5" s="14" t="inlineStr">
        <is>
          <t>P1-LVD-1, P3-LVD-1</t>
        </is>
      </c>
    </row>
    <row r="6" ht="18" customHeight="1">
      <c r="A6" s="16" t="n">
        <v>4</v>
      </c>
      <c r="B6" s="16" t="inlineStr">
        <is>
          <t>LVS Scene Controller</t>
        </is>
      </c>
      <c r="C6" s="16" t="inlineStr">
        <is>
          <t>Leviton</t>
        </is>
      </c>
      <c r="D6" s="16" t="inlineStr">
        <is>
          <t>5631-1LW</t>
        </is>
      </c>
      <c r="E6" s="16" t="n">
        <v>3</v>
      </c>
      <c r="F6" s="16" t="inlineStr">
        <is>
          <t>ea</t>
        </is>
      </c>
      <c r="G6" s="17" t="n">
        <v>75</v>
      </c>
      <c r="H6" s="17">
        <f>E6*G6</f>
        <v/>
      </c>
      <c r="I6" s="16" t="inlineStr">
        <is>
          <t>P4-LVS-1/2/3</t>
        </is>
      </c>
    </row>
    <row r="7" ht="18" customHeight="1">
      <c r="A7" s="14" t="n">
        <v>5</v>
      </c>
      <c r="B7" s="14" t="inlineStr">
        <is>
          <t>15A Single-Pole Switch</t>
        </is>
      </c>
      <c r="C7" s="14" t="inlineStr">
        <is>
          <t>Leviton</t>
        </is>
      </c>
      <c r="D7" s="14" t="inlineStr">
        <is>
          <t>M12-01421-2WS</t>
        </is>
      </c>
      <c r="E7" s="14" t="n">
        <v>15</v>
      </c>
      <c r="F7" s="14" t="inlineStr">
        <is>
          <t>ea</t>
        </is>
      </c>
      <c r="G7" s="15" t="n">
        <v>6</v>
      </c>
      <c r="H7" s="15">
        <f>E7*G7</f>
        <v/>
      </c>
      <c r="I7" s="14" t="inlineStr">
        <is>
          <t>Utility/non-dimmed</t>
        </is>
      </c>
    </row>
    <row r="8" ht="18" customHeight="1">
      <c r="A8" s="16" t="n">
        <v>6</v>
      </c>
      <c r="B8" s="16" t="inlineStr">
        <is>
          <t>3-Way Switch</t>
        </is>
      </c>
      <c r="C8" s="16" t="inlineStr">
        <is>
          <t>Leviton</t>
        </is>
      </c>
      <c r="D8" s="16" t="inlineStr">
        <is>
          <t>M12-05603-2WS</t>
        </is>
      </c>
      <c r="E8" s="16" t="n">
        <v>16</v>
      </c>
      <c r="F8" s="16" t="inlineStr">
        <is>
          <t>ea</t>
        </is>
      </c>
      <c r="G8" s="17" t="n">
        <v>9</v>
      </c>
      <c r="H8" s="17">
        <f>E8*G8</f>
        <v/>
      </c>
      <c r="I8" s="16" t="inlineStr">
        <is>
          <t>Corridors/stairs</t>
        </is>
      </c>
    </row>
    <row r="9" ht="18" customHeight="1">
      <c r="A9" s="14" t="n">
        <v>7</v>
      </c>
      <c r="B9" s="14" t="inlineStr">
        <is>
          <t>4-Way Switch</t>
        </is>
      </c>
      <c r="C9" s="14" t="inlineStr">
        <is>
          <t>Leviton</t>
        </is>
      </c>
      <c r="D9" s="14" t="inlineStr">
        <is>
          <t>M12-05604-2WS</t>
        </is>
      </c>
      <c r="E9" s="14" t="n">
        <v>4</v>
      </c>
      <c r="F9" s="14" t="inlineStr">
        <is>
          <t>ea</t>
        </is>
      </c>
      <c r="G9" s="15" t="n">
        <v>14</v>
      </c>
      <c r="H9" s="15">
        <f>E9*G9</f>
        <v/>
      </c>
      <c r="I9" s="14" t="inlineStr">
        <is>
          <t>Long runs</t>
        </is>
      </c>
    </row>
    <row r="10" ht="18" customHeight="1">
      <c r="A10" s="16" t="n">
        <v>8</v>
      </c>
      <c r="B10" s="16" t="inlineStr">
        <is>
          <t>20A Single-Pole Switch (fans/motors)</t>
        </is>
      </c>
      <c r="C10" s="16" t="inlineStr">
        <is>
          <t>Leviton</t>
        </is>
      </c>
      <c r="D10" s="16" t="inlineStr">
        <is>
          <t>M12-01221-2WS</t>
        </is>
      </c>
      <c r="E10" s="16" t="n">
        <v>6</v>
      </c>
      <c r="F10" s="16" t="inlineStr">
        <is>
          <t>ea</t>
        </is>
      </c>
      <c r="G10" s="17" t="n">
        <v>10</v>
      </c>
      <c r="H10" s="17">
        <f>E10*G10</f>
        <v/>
      </c>
      <c r="I10" s="16" t="inlineStr">
        <is>
          <t>Fans/exhaust</t>
        </is>
      </c>
    </row>
    <row r="11" ht="18" customHeight="1">
      <c r="A11" s="14" t="n">
        <v>9</v>
      </c>
      <c r="B11" s="14" t="inlineStr">
        <is>
          <t>Switch Plate Single-Gang Decora</t>
        </is>
      </c>
      <c r="C11" s="14" t="inlineStr">
        <is>
          <t>Leviton</t>
        </is>
      </c>
      <c r="D11" s="14" t="inlineStr">
        <is>
          <t>80401-W</t>
        </is>
      </c>
      <c r="E11" s="14" t="n">
        <v>30</v>
      </c>
      <c r="F11" s="14" t="inlineStr">
        <is>
          <t>ea</t>
        </is>
      </c>
      <c r="G11" s="15" t="n">
        <v>3</v>
      </c>
      <c r="H11" s="15">
        <f>E11*G11</f>
        <v/>
      </c>
      <c r="I11" s="14" t="inlineStr"/>
    </row>
    <row r="12" ht="18" customHeight="1">
      <c r="A12" s="16" t="n">
        <v>10</v>
      </c>
      <c r="B12" s="16" t="inlineStr">
        <is>
          <t>Switch Plate Double-Gang Decora</t>
        </is>
      </c>
      <c r="C12" s="16" t="inlineStr">
        <is>
          <t>Leviton</t>
        </is>
      </c>
      <c r="D12" s="16" t="inlineStr">
        <is>
          <t>80409-W</t>
        </is>
      </c>
      <c r="E12" s="16" t="n">
        <v>20</v>
      </c>
      <c r="F12" s="16" t="inlineStr">
        <is>
          <t>ea</t>
        </is>
      </c>
      <c r="G12" s="17" t="n">
        <v>4</v>
      </c>
      <c r="H12" s="17">
        <f>E12*G12</f>
        <v/>
      </c>
      <c r="I12" s="16" t="inlineStr"/>
    </row>
    <row r="13" ht="18" customHeight="1">
      <c r="A13" s="14" t="n">
        <v>11</v>
      </c>
      <c r="B13" s="14" t="inlineStr">
        <is>
          <t>Switch Plate Triple-Gang Decora</t>
        </is>
      </c>
      <c r="C13" s="14" t="inlineStr">
        <is>
          <t>Leviton</t>
        </is>
      </c>
      <c r="D13" s="14" t="inlineStr">
        <is>
          <t>80411-W</t>
        </is>
      </c>
      <c r="E13" s="14" t="n">
        <v>10</v>
      </c>
      <c r="F13" s="14" t="inlineStr">
        <is>
          <t>ea</t>
        </is>
      </c>
      <c r="G13" s="15" t="n">
        <v>5</v>
      </c>
      <c r="H13" s="15">
        <f>E13*G13</f>
        <v/>
      </c>
      <c r="I13" s="14" t="inlineStr"/>
    </row>
    <row r="14" ht="18" customHeight="1">
      <c r="A14" s="16" t="n">
        <v>12</v>
      </c>
      <c r="B14" s="16" t="inlineStr">
        <is>
          <t>Low-Voltage Switch Box</t>
        </is>
      </c>
      <c r="C14" s="16" t="inlineStr">
        <is>
          <t>Carlon</t>
        </is>
      </c>
      <c r="D14" s="16" t="inlineStr">
        <is>
          <t>B114R-UPC</t>
        </is>
      </c>
      <c r="E14" s="16" t="n">
        <v>60</v>
      </c>
      <c r="F14" s="16" t="inlineStr">
        <is>
          <t>ea</t>
        </is>
      </c>
      <c r="G14" s="17" t="n">
        <v>1.5</v>
      </c>
      <c r="H14" s="17">
        <f>E14*G14</f>
        <v/>
      </c>
      <c r="I14" s="16" t="inlineStr">
        <is>
          <t>All switch locations</t>
        </is>
      </c>
    </row>
    <row r="15" ht="22" customHeight="1">
      <c r="A15" s="18" t="inlineStr">
        <is>
          <t>SUBTOTAL — 5-Switches &amp; Dimmers</t>
        </is>
      </c>
      <c r="H15" s="19">
        <f>SUM(H3:H14)</f>
        <v/>
      </c>
    </row>
  </sheetData>
  <mergeCells count="2">
    <mergeCell ref="A1:I1"/>
    <mergeCell ref="A15:G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22" customWidth="1" min="4" max="4"/>
    <col width="7" customWidth="1" min="5" max="5"/>
    <col width="7" customWidth="1" min="6" max="6"/>
    <col width="12" customWidth="1" min="7" max="7"/>
    <col width="14" customWidth="1" min="8" max="8"/>
    <col width="30" customWidth="1" min="9" max="9"/>
  </cols>
  <sheetData>
    <row r="1" ht="24" customHeight="1">
      <c r="A1" s="12" t="inlineStr">
        <is>
          <t>6-ELECTRICAL BOXES</t>
        </is>
      </c>
    </row>
    <row r="2" ht="30" customHeight="1">
      <c r="A2" s="13" t="inlineStr">
        <is>
          <t>#</t>
        </is>
      </c>
      <c r="B2" s="13" t="inlineStr">
        <is>
          <t>Item / Description</t>
        </is>
      </c>
      <c r="C2" s="13" t="inlineStr">
        <is>
          <t>Manufacturer</t>
        </is>
      </c>
      <c r="D2" s="13" t="inlineStr">
        <is>
          <t>Model / Part #</t>
        </is>
      </c>
      <c r="E2" s="13" t="inlineStr">
        <is>
          <t>Qty</t>
        </is>
      </c>
      <c r="F2" s="13" t="inlineStr">
        <is>
          <t>Unit</t>
        </is>
      </c>
      <c r="G2" s="13" t="inlineStr">
        <is>
          <t>Unit Price</t>
        </is>
      </c>
      <c r="H2" s="13" t="inlineStr">
        <is>
          <t>Extended</t>
        </is>
      </c>
      <c r="I2" s="13" t="inlineStr">
        <is>
          <t>Notes</t>
        </is>
      </c>
    </row>
    <row r="3" ht="18" customHeight="1">
      <c r="A3" s="14" t="n">
        <v>1</v>
      </c>
      <c r="B3" s="14" t="inlineStr">
        <is>
          <t>Single-Gang Device Box plastic</t>
        </is>
      </c>
      <c r="C3" s="14" t="inlineStr">
        <is>
          <t>Carlon</t>
        </is>
      </c>
      <c r="D3" s="14" t="inlineStr">
        <is>
          <t>B114R</t>
        </is>
      </c>
      <c r="E3" s="14" t="n">
        <v>180</v>
      </c>
      <c r="F3" s="14" t="inlineStr">
        <is>
          <t>ea</t>
        </is>
      </c>
      <c r="G3" s="15" t="n">
        <v>1.5</v>
      </c>
      <c r="H3" s="15">
        <f>E3*G3</f>
        <v/>
      </c>
      <c r="I3" s="14" t="inlineStr">
        <is>
          <t>All device locations</t>
        </is>
      </c>
    </row>
    <row r="4" ht="18" customHeight="1">
      <c r="A4" s="16" t="n">
        <v>2</v>
      </c>
      <c r="B4" s="16" t="inlineStr">
        <is>
          <t>Double-Gang Device Box</t>
        </is>
      </c>
      <c r="C4" s="16" t="inlineStr">
        <is>
          <t>Carlon</t>
        </is>
      </c>
      <c r="D4" s="16" t="inlineStr">
        <is>
          <t>B217R</t>
        </is>
      </c>
      <c r="E4" s="16" t="n">
        <v>40</v>
      </c>
      <c r="F4" s="16" t="inlineStr">
        <is>
          <t>ea</t>
        </is>
      </c>
      <c r="G4" s="17" t="n">
        <v>2.25</v>
      </c>
      <c r="H4" s="17">
        <f>E4*G4</f>
        <v/>
      </c>
      <c r="I4" s="16" t="inlineStr">
        <is>
          <t>Multi-device</t>
        </is>
      </c>
    </row>
    <row r="5" ht="18" customHeight="1">
      <c r="A5" s="14" t="n">
        <v>3</v>
      </c>
      <c r="B5" s="14" t="inlineStr">
        <is>
          <t>4" Square Junction Box</t>
        </is>
      </c>
      <c r="C5" s="14" t="inlineStr">
        <is>
          <t>Steel City</t>
        </is>
      </c>
      <c r="D5" s="14" t="inlineStr">
        <is>
          <t>52151-1/2</t>
        </is>
      </c>
      <c r="E5" s="14" t="n">
        <v>60</v>
      </c>
      <c r="F5" s="14" t="inlineStr">
        <is>
          <t>ea</t>
        </is>
      </c>
      <c r="G5" s="15" t="n">
        <v>3.5</v>
      </c>
      <c r="H5" s="15">
        <f>E5*G5</f>
        <v/>
      </c>
      <c r="I5" s="14" t="inlineStr">
        <is>
          <t>Junction/splice</t>
        </is>
      </c>
    </row>
    <row r="6" ht="18" customHeight="1">
      <c r="A6" s="16" t="n">
        <v>4</v>
      </c>
      <c r="B6" s="16" t="inlineStr">
        <is>
          <t>4" Octagonal Ceiling Box</t>
        </is>
      </c>
      <c r="C6" s="16" t="inlineStr">
        <is>
          <t>Raco</t>
        </is>
      </c>
      <c r="D6" s="16" t="inlineStr">
        <is>
          <t>0180</t>
        </is>
      </c>
      <c r="E6" s="16" t="n">
        <v>170</v>
      </c>
      <c r="F6" s="16" t="inlineStr">
        <is>
          <t>ea</t>
        </is>
      </c>
      <c r="G6" s="17" t="n">
        <v>3.25</v>
      </c>
      <c r="H6" s="17">
        <f>E6*G6</f>
        <v/>
      </c>
      <c r="I6" s="16" t="inlineStr">
        <is>
          <t>Each ceiling fixture</t>
        </is>
      </c>
    </row>
    <row r="7" ht="18" customHeight="1">
      <c r="A7" s="14" t="n">
        <v>5</v>
      </c>
      <c r="B7" s="14" t="inlineStr">
        <is>
          <t>Floor Outlet Box in-slab</t>
        </is>
      </c>
      <c r="C7" s="14" t="inlineStr">
        <is>
          <t>Hubbell</t>
        </is>
      </c>
      <c r="D7" s="14" t="inlineStr">
        <is>
          <t>S1CTRNIBK</t>
        </is>
      </c>
      <c r="E7" s="14" t="n">
        <v>7</v>
      </c>
      <c r="F7" s="14" t="inlineStr">
        <is>
          <t>ea</t>
        </is>
      </c>
      <c r="G7" s="15" t="n">
        <v>85</v>
      </c>
      <c r="H7" s="15">
        <f>E7*G7</f>
        <v/>
      </c>
      <c r="I7" s="14" t="inlineStr">
        <is>
          <t>Matches floor outlets</t>
        </is>
      </c>
    </row>
    <row r="8" ht="18" customHeight="1">
      <c r="A8" s="16" t="n">
        <v>6</v>
      </c>
      <c r="B8" s="16" t="inlineStr">
        <is>
          <t>Panel Enclosure 42-circuit</t>
        </is>
      </c>
      <c r="C8" s="16" t="inlineStr">
        <is>
          <t>Leviton</t>
        </is>
      </c>
      <c r="D8" s="16" t="inlineStr">
        <is>
          <t>LP420</t>
        </is>
      </c>
      <c r="E8" s="16" t="n">
        <v>4</v>
      </c>
      <c r="F8" s="16" t="inlineStr">
        <is>
          <t>ea</t>
        </is>
      </c>
      <c r="G8" s="17" t="n">
        <v>350</v>
      </c>
      <c r="H8" s="17">
        <f>E8*G8</f>
        <v/>
      </c>
      <c r="I8" s="16" t="inlineStr">
        <is>
          <t>P1-P4</t>
        </is>
      </c>
    </row>
    <row r="9" ht="18" customHeight="1">
      <c r="A9" s="14" t="n">
        <v>7</v>
      </c>
      <c r="B9" s="14" t="inlineStr">
        <is>
          <t>Low-Voltage Ring Bracket</t>
        </is>
      </c>
      <c r="C9" s="14" t="inlineStr">
        <is>
          <t>Carlon</t>
        </is>
      </c>
      <c r="D9" s="14" t="inlineStr">
        <is>
          <t>LVB1</t>
        </is>
      </c>
      <c r="E9" s="14" t="n">
        <v>80</v>
      </c>
      <c r="F9" s="14" t="inlineStr">
        <is>
          <t>ea</t>
        </is>
      </c>
      <c r="G9" s="15" t="n">
        <v>1.25</v>
      </c>
      <c r="H9" s="15">
        <f>E9*G9</f>
        <v/>
      </c>
      <c r="I9" s="14" t="inlineStr">
        <is>
          <t>LAN/AV/comm</t>
        </is>
      </c>
    </row>
    <row r="10" ht="22" customHeight="1">
      <c r="A10" s="18" t="inlineStr">
        <is>
          <t>SUBTOTAL — 6-Electrical Boxes</t>
        </is>
      </c>
      <c r="H10" s="19">
        <f>SUM(H3:H9)</f>
        <v/>
      </c>
    </row>
  </sheetData>
  <mergeCells count="2">
    <mergeCell ref="A1:I1"/>
    <mergeCell ref="A10:G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22" customWidth="1" min="4" max="4"/>
    <col width="7" customWidth="1" min="5" max="5"/>
    <col width="7" customWidth="1" min="6" max="6"/>
    <col width="12" customWidth="1" min="7" max="7"/>
    <col width="14" customWidth="1" min="8" max="8"/>
    <col width="30" customWidth="1" min="9" max="9"/>
  </cols>
  <sheetData>
    <row r="1" ht="24" customHeight="1">
      <c r="A1" s="12" t="inlineStr">
        <is>
          <t>7-WIRE &amp; CABLE</t>
        </is>
      </c>
    </row>
    <row r="2" ht="30" customHeight="1">
      <c r="A2" s="13" t="inlineStr">
        <is>
          <t>#</t>
        </is>
      </c>
      <c r="B2" s="13" t="inlineStr">
        <is>
          <t>Item / Description</t>
        </is>
      </c>
      <c r="C2" s="13" t="inlineStr">
        <is>
          <t>Manufacturer</t>
        </is>
      </c>
      <c r="D2" s="13" t="inlineStr">
        <is>
          <t>Model / Part #</t>
        </is>
      </c>
      <c r="E2" s="13" t="inlineStr">
        <is>
          <t>Qty</t>
        </is>
      </c>
      <c r="F2" s="13" t="inlineStr">
        <is>
          <t>Unit</t>
        </is>
      </c>
      <c r="G2" s="13" t="inlineStr">
        <is>
          <t>Unit Price</t>
        </is>
      </c>
      <c r="H2" s="13" t="inlineStr">
        <is>
          <t>Extended</t>
        </is>
      </c>
      <c r="I2" s="13" t="inlineStr">
        <is>
          <t>Notes</t>
        </is>
      </c>
    </row>
    <row r="3" ht="18" customHeight="1">
      <c r="A3" s="14" t="n">
        <v>1</v>
      </c>
      <c r="B3" s="14" t="inlineStr">
        <is>
          <t>12/2 NM-B Romex 15A circuits</t>
        </is>
      </c>
      <c r="C3" s="14" t="inlineStr">
        <is>
          <t>Southwire</t>
        </is>
      </c>
      <c r="D3" s="14" t="inlineStr">
        <is>
          <t>28829022</t>
        </is>
      </c>
      <c r="E3" s="14" t="n">
        <v>2000</v>
      </c>
      <c r="F3" s="14" t="inlineStr">
        <is>
          <t>ft</t>
        </is>
      </c>
      <c r="G3" s="15" t="n">
        <v>0.48</v>
      </c>
      <c r="H3" s="15">
        <f>E3*G3</f>
        <v/>
      </c>
      <c r="I3" s="14" t="inlineStr">
        <is>
          <t>General lighting/outlets</t>
        </is>
      </c>
    </row>
    <row r="4" ht="18" customHeight="1">
      <c r="A4" s="16" t="n">
        <v>2</v>
      </c>
      <c r="B4" s="16" t="inlineStr">
        <is>
          <t>12/3 NM-B 20A multi-wire</t>
        </is>
      </c>
      <c r="C4" s="16" t="inlineStr">
        <is>
          <t>Southwire</t>
        </is>
      </c>
      <c r="D4" s="16" t="inlineStr">
        <is>
          <t>28831022</t>
        </is>
      </c>
      <c r="E4" s="16" t="n">
        <v>500</v>
      </c>
      <c r="F4" s="16" t="inlineStr">
        <is>
          <t>ft</t>
        </is>
      </c>
      <c r="G4" s="17" t="n">
        <v>0.72</v>
      </c>
      <c r="H4" s="17">
        <f>E4*G4</f>
        <v/>
      </c>
      <c r="I4" s="16" t="inlineStr">
        <is>
          <t>MWBC circuits</t>
        </is>
      </c>
    </row>
    <row r="5" ht="18" customHeight="1">
      <c r="A5" s="14" t="n">
        <v>3</v>
      </c>
      <c r="B5" s="14" t="inlineStr">
        <is>
          <t>10/2 NM-B 30A circuits</t>
        </is>
      </c>
      <c r="C5" s="14" t="inlineStr">
        <is>
          <t>Southwire</t>
        </is>
      </c>
      <c r="D5" s="14" t="inlineStr">
        <is>
          <t>28833022</t>
        </is>
      </c>
      <c r="E5" s="14" t="n">
        <v>400</v>
      </c>
      <c r="F5" s="14" t="inlineStr">
        <is>
          <t>ft</t>
        </is>
      </c>
      <c r="G5" s="15" t="n">
        <v>0.85</v>
      </c>
      <c r="H5" s="15">
        <f>E5*G5</f>
        <v/>
      </c>
      <c r="I5" s="14" t="inlineStr">
        <is>
          <t>Dryer/WH/AC</t>
        </is>
      </c>
    </row>
    <row r="6" ht="18" customHeight="1">
      <c r="A6" s="16" t="n">
        <v>4</v>
      </c>
      <c r="B6" s="16" t="inlineStr">
        <is>
          <t>8/2 NM-B 40A circuits</t>
        </is>
      </c>
      <c r="C6" s="16" t="inlineStr">
        <is>
          <t>Southwire</t>
        </is>
      </c>
      <c r="D6" s="16" t="inlineStr">
        <is>
          <t>—</t>
        </is>
      </c>
      <c r="E6" s="16" t="n">
        <v>200</v>
      </c>
      <c r="F6" s="16" t="inlineStr">
        <is>
          <t>ft</t>
        </is>
      </c>
      <c r="G6" s="17" t="n">
        <v>1.4</v>
      </c>
      <c r="H6" s="17">
        <f>E6*G6</f>
        <v/>
      </c>
      <c r="I6" s="16" t="inlineStr">
        <is>
          <t>Range/oven/EV</t>
        </is>
      </c>
    </row>
    <row r="7" ht="18" customHeight="1">
      <c r="A7" s="14" t="n">
        <v>5</v>
      </c>
      <c r="B7" s="14" t="inlineStr">
        <is>
          <t>6/2 NM-B 50A circuits</t>
        </is>
      </c>
      <c r="C7" s="14" t="inlineStr">
        <is>
          <t>Southwire</t>
        </is>
      </c>
      <c r="D7" s="14" t="inlineStr">
        <is>
          <t>—</t>
        </is>
      </c>
      <c r="E7" s="14" t="n">
        <v>150</v>
      </c>
      <c r="F7" s="14" t="inlineStr">
        <is>
          <t>ft</t>
        </is>
      </c>
      <c r="G7" s="15" t="n">
        <v>2.1</v>
      </c>
      <c r="H7" s="15">
        <f>E7*G7</f>
        <v/>
      </c>
      <c r="I7" s="14" t="inlineStr">
        <is>
          <t>Range/pizza oven</t>
        </is>
      </c>
    </row>
    <row r="8" ht="18" customHeight="1">
      <c r="A8" s="16" t="n">
        <v>6</v>
      </c>
      <c r="B8" s="16" t="inlineStr">
        <is>
          <t>14/2 NM-B low-load lighting</t>
        </is>
      </c>
      <c r="C8" s="16" t="inlineStr">
        <is>
          <t>Southwire</t>
        </is>
      </c>
      <c r="D8" s="16" t="inlineStr">
        <is>
          <t>28827022</t>
        </is>
      </c>
      <c r="E8" s="16" t="n">
        <v>500</v>
      </c>
      <c r="F8" s="16" t="inlineStr">
        <is>
          <t>ft</t>
        </is>
      </c>
      <c r="G8" s="17" t="n">
        <v>0.35</v>
      </c>
      <c r="H8" s="17">
        <f>E8*G8</f>
        <v/>
      </c>
      <c r="I8" s="16" t="inlineStr"/>
    </row>
    <row r="9" ht="18" customHeight="1">
      <c r="A9" s="14" t="n">
        <v>7</v>
      </c>
      <c r="B9" s="14" t="inlineStr">
        <is>
          <t>Cat6A UTP bulk</t>
        </is>
      </c>
      <c r="C9" s="14" t="inlineStr">
        <is>
          <t>Belden</t>
        </is>
      </c>
      <c r="D9" s="14" t="inlineStr">
        <is>
          <t>10GXE00</t>
        </is>
      </c>
      <c r="E9" s="14" t="n">
        <v>3000</v>
      </c>
      <c r="F9" s="14" t="inlineStr">
        <is>
          <t>ft</t>
        </is>
      </c>
      <c r="G9" s="15" t="n">
        <v>0.55</v>
      </c>
      <c r="H9" s="15">
        <f>E9*G9</f>
        <v/>
      </c>
      <c r="I9" s="14" t="inlineStr">
        <is>
          <t>LAN/PoE — 50ft avg x 60 drops</t>
        </is>
      </c>
    </row>
    <row r="10" ht="18" customHeight="1">
      <c r="A10" s="16" t="n">
        <v>8</v>
      </c>
      <c r="B10" s="16" t="inlineStr">
        <is>
          <t>18/2 Thermostat Wire</t>
        </is>
      </c>
      <c r="C10" s="16" t="inlineStr">
        <is>
          <t>Southwire</t>
        </is>
      </c>
      <c r="D10" s="16" t="inlineStr">
        <is>
          <t>56422445</t>
        </is>
      </c>
      <c r="E10" s="16" t="n">
        <v>500</v>
      </c>
      <c r="F10" s="16" t="inlineStr">
        <is>
          <t>ft</t>
        </is>
      </c>
      <c r="G10" s="17" t="n">
        <v>0.22</v>
      </c>
      <c r="H10" s="17">
        <f>E10*G10</f>
        <v/>
      </c>
      <c r="I10" s="16" t="inlineStr">
        <is>
          <t>HVAC controls x13</t>
        </is>
      </c>
    </row>
    <row r="11" ht="18" customHeight="1">
      <c r="A11" s="14" t="n">
        <v>9</v>
      </c>
      <c r="B11" s="14" t="inlineStr">
        <is>
          <t>Low-Voltage 24V DC Wire 14AWG</t>
        </is>
      </c>
      <c r="C11" s="14" t="inlineStr">
        <is>
          <t>—</t>
        </is>
      </c>
      <c r="D11" s="14" t="inlineStr">
        <is>
          <t>—</t>
        </is>
      </c>
      <c r="E11" s="14" t="n">
        <v>2000</v>
      </c>
      <c r="F11" s="14" t="inlineStr">
        <is>
          <t>ft</t>
        </is>
      </c>
      <c r="G11" s="15" t="n">
        <v>0.3</v>
      </c>
      <c r="H11" s="15">
        <f>E11*G11</f>
        <v/>
      </c>
      <c r="I11" s="14" t="inlineStr">
        <is>
          <t>LED strip/transformer runs</t>
        </is>
      </c>
    </row>
    <row r="12" ht="18" customHeight="1">
      <c r="A12" s="16" t="n">
        <v>10</v>
      </c>
      <c r="B12" s="16" t="inlineStr">
        <is>
          <t>Speaker/AV Cable 16/4</t>
        </is>
      </c>
      <c r="C12" s="16" t="inlineStr">
        <is>
          <t>—</t>
        </is>
      </c>
      <c r="D12" s="16" t="inlineStr">
        <is>
          <t>—</t>
        </is>
      </c>
      <c r="E12" s="16" t="n">
        <v>500</v>
      </c>
      <c r="F12" s="16" t="inlineStr">
        <is>
          <t>ft</t>
        </is>
      </c>
      <c r="G12" s="17" t="n">
        <v>0.4</v>
      </c>
      <c r="H12" s="17">
        <f>E12*G12</f>
        <v/>
      </c>
      <c r="I12" s="16" t="inlineStr">
        <is>
          <t>AV locations</t>
        </is>
      </c>
    </row>
    <row r="13" ht="18" customHeight="1">
      <c r="A13" s="14" t="n">
        <v>11</v>
      </c>
      <c r="B13" s="14" t="inlineStr">
        <is>
          <t>3/4" EMT Conduit</t>
        </is>
      </c>
      <c r="C13" s="14" t="inlineStr">
        <is>
          <t>Allied</t>
        </is>
      </c>
      <c r="D13" s="14" t="inlineStr">
        <is>
          <t>—</t>
        </is>
      </c>
      <c r="E13" s="14" t="n">
        <v>200</v>
      </c>
      <c r="F13" s="14" t="inlineStr">
        <is>
          <t>ft</t>
        </is>
      </c>
      <c r="G13" s="15" t="n">
        <v>1.2</v>
      </c>
      <c r="H13" s="15">
        <f>E13*G13</f>
        <v/>
      </c>
      <c r="I13" s="14" t="inlineStr">
        <is>
          <t>Exposed/garage/mech</t>
        </is>
      </c>
    </row>
    <row r="14" ht="18" customHeight="1">
      <c r="A14" s="16" t="n">
        <v>12</v>
      </c>
      <c r="B14" s="16" t="inlineStr">
        <is>
          <t>1" EMT Conduit</t>
        </is>
      </c>
      <c r="C14" s="16" t="inlineStr">
        <is>
          <t>Allied</t>
        </is>
      </c>
      <c r="D14" s="16" t="inlineStr">
        <is>
          <t>—</t>
        </is>
      </c>
      <c r="E14" s="16" t="n">
        <v>100</v>
      </c>
      <c r="F14" s="16" t="inlineStr">
        <is>
          <t>ft</t>
        </is>
      </c>
      <c r="G14" s="17" t="n">
        <v>2.1</v>
      </c>
      <c r="H14" s="17">
        <f>E14*G14</f>
        <v/>
      </c>
      <c r="I14" s="16" t="inlineStr">
        <is>
          <t>Panel feeds</t>
        </is>
      </c>
    </row>
    <row r="15" ht="22" customHeight="1">
      <c r="A15" s="18" t="inlineStr">
        <is>
          <t>SUBTOTAL — 7-Wire &amp; Cable</t>
        </is>
      </c>
      <c r="H15" s="19">
        <f>SUM(H3:H14)</f>
        <v/>
      </c>
    </row>
  </sheetData>
  <mergeCells count="2">
    <mergeCell ref="A1:I1"/>
    <mergeCell ref="A15:G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22" customWidth="1" min="4" max="4"/>
    <col width="7" customWidth="1" min="5" max="5"/>
    <col width="7" customWidth="1" min="6" max="6"/>
    <col width="12" customWidth="1" min="7" max="7"/>
    <col width="14" customWidth="1" min="8" max="8"/>
    <col width="30" customWidth="1" min="9" max="9"/>
  </cols>
  <sheetData>
    <row r="1" ht="24" customHeight="1">
      <c r="A1" s="12" t="inlineStr">
        <is>
          <t>8-PANELS &amp; CONTROLS</t>
        </is>
      </c>
    </row>
    <row r="2" ht="30" customHeight="1">
      <c r="A2" s="13" t="inlineStr">
        <is>
          <t>#</t>
        </is>
      </c>
      <c r="B2" s="13" t="inlineStr">
        <is>
          <t>Item / Description</t>
        </is>
      </c>
      <c r="C2" s="13" t="inlineStr">
        <is>
          <t>Manufacturer</t>
        </is>
      </c>
      <c r="D2" s="13" t="inlineStr">
        <is>
          <t>Model / Part #</t>
        </is>
      </c>
      <c r="E2" s="13" t="inlineStr">
        <is>
          <t>Qty</t>
        </is>
      </c>
      <c r="F2" s="13" t="inlineStr">
        <is>
          <t>Unit</t>
        </is>
      </c>
      <c r="G2" s="13" t="inlineStr">
        <is>
          <t>Unit Price</t>
        </is>
      </c>
      <c r="H2" s="13" t="inlineStr">
        <is>
          <t>Extended</t>
        </is>
      </c>
      <c r="I2" s="13" t="inlineStr">
        <is>
          <t>Notes</t>
        </is>
      </c>
    </row>
    <row r="3" ht="18" customHeight="1">
      <c r="A3" s="14" t="n">
        <v>1</v>
      </c>
      <c r="B3" s="14" t="inlineStr">
        <is>
          <t>Leviton Load Center w/ Smart Breakers</t>
        </is>
      </c>
      <c r="C3" s="14" t="inlineStr">
        <is>
          <t>Leviton</t>
        </is>
      </c>
      <c r="D3" s="14" t="inlineStr">
        <is>
          <t>LP420-42</t>
        </is>
      </c>
      <c r="E3" s="14" t="n">
        <v>2</v>
      </c>
      <c r="F3" s="14" t="inlineStr">
        <is>
          <t>ea</t>
        </is>
      </c>
      <c r="G3" s="15" t="n">
        <v>1200</v>
      </c>
      <c r="H3" s="15">
        <f>E3*G3</f>
        <v/>
      </c>
      <c r="I3" s="14" t="inlineStr">
        <is>
          <t>Main panels</t>
        </is>
      </c>
    </row>
    <row r="4" ht="18" customHeight="1">
      <c r="A4" s="16" t="n">
        <v>2</v>
      </c>
      <c r="B4" s="16" t="inlineStr">
        <is>
          <t>Leviton 28" Media Center</t>
        </is>
      </c>
      <c r="C4" s="16" t="inlineStr">
        <is>
          <t>Leviton</t>
        </is>
      </c>
      <c r="D4" s="16" t="inlineStr">
        <is>
          <t>47605-28W</t>
        </is>
      </c>
      <c r="E4" s="16" t="n">
        <v>1</v>
      </c>
      <c r="F4" s="16" t="inlineStr">
        <is>
          <t>ea</t>
        </is>
      </c>
      <c r="G4" s="17" t="n">
        <v>450</v>
      </c>
      <c r="H4" s="17">
        <f>E4*G4</f>
        <v/>
      </c>
      <c r="I4" s="16" t="inlineStr"/>
    </row>
    <row r="5" ht="18" customHeight="1">
      <c r="A5" s="14" t="n">
        <v>3</v>
      </c>
      <c r="B5" s="14" t="inlineStr">
        <is>
          <t>Shelly PM4 4-ch power monitor</t>
        </is>
      </c>
      <c r="C5" s="14" t="inlineStr">
        <is>
          <t>Shelly</t>
        </is>
      </c>
      <c r="D5" s="14" t="inlineStr">
        <is>
          <t>PM4</t>
        </is>
      </c>
      <c r="E5" s="14" t="n">
        <v>4</v>
      </c>
      <c r="F5" s="14" t="inlineStr">
        <is>
          <t>ea</t>
        </is>
      </c>
      <c r="G5" s="15" t="n">
        <v>50</v>
      </c>
      <c r="H5" s="15">
        <f>E5*G5</f>
        <v/>
      </c>
      <c r="I5" s="14" t="inlineStr">
        <is>
          <t>Per panel</t>
        </is>
      </c>
    </row>
    <row r="6" ht="18" customHeight="1">
      <c r="A6" s="16" t="n">
        <v>4</v>
      </c>
      <c r="B6" s="16" t="inlineStr">
        <is>
          <t>Shelly RGBW Plus</t>
        </is>
      </c>
      <c r="C6" s="16" t="inlineStr">
        <is>
          <t>Shelly</t>
        </is>
      </c>
      <c r="D6" s="16" t="inlineStr">
        <is>
          <t>RGBW2</t>
        </is>
      </c>
      <c r="E6" s="16" t="n">
        <v>8</v>
      </c>
      <c r="F6" s="16" t="inlineStr">
        <is>
          <t>ea</t>
        </is>
      </c>
      <c r="G6" s="17" t="n">
        <v>45</v>
      </c>
      <c r="H6" s="17">
        <f>E6*G6</f>
        <v/>
      </c>
      <c r="I6" s="16" t="inlineStr"/>
    </row>
    <row r="7" ht="18" customHeight="1">
      <c r="A7" s="14" t="n">
        <v>5</v>
      </c>
      <c r="B7" s="14" t="inlineStr">
        <is>
          <t>Shelly Dual Cover module</t>
        </is>
      </c>
      <c r="C7" s="14" t="inlineStr">
        <is>
          <t>Shelly</t>
        </is>
      </c>
      <c r="D7" s="14" t="inlineStr">
        <is>
          <t>Plus 2PM</t>
        </is>
      </c>
      <c r="E7" s="14" t="n">
        <v>6</v>
      </c>
      <c r="F7" s="14" t="inlineStr">
        <is>
          <t>ea</t>
        </is>
      </c>
      <c r="G7" s="15" t="n">
        <v>35</v>
      </c>
      <c r="H7" s="15">
        <f>E7*G7</f>
        <v/>
      </c>
      <c r="I7" s="14" t="inlineStr"/>
    </row>
    <row r="8" ht="18" customHeight="1">
      <c r="A8" s="16" t="n">
        <v>6</v>
      </c>
      <c r="B8" s="16" t="inlineStr">
        <is>
          <t>MeanWell HDR-150-24 3A DIN</t>
        </is>
      </c>
      <c r="C8" s="16" t="inlineStr">
        <is>
          <t>MeanWell</t>
        </is>
      </c>
      <c r="D8" s="16" t="inlineStr">
        <is>
          <t>HDR-150-24</t>
        </is>
      </c>
      <c r="E8" s="16" t="n">
        <v>3</v>
      </c>
      <c r="F8" s="16" t="inlineStr">
        <is>
          <t>ea</t>
        </is>
      </c>
      <c r="G8" s="17" t="n">
        <v>55</v>
      </c>
      <c r="H8" s="17">
        <f>E8*G8</f>
        <v/>
      </c>
      <c r="I8" s="16" t="inlineStr"/>
    </row>
    <row r="9" ht="18" customHeight="1">
      <c r="A9" s="14" t="n">
        <v>7</v>
      </c>
      <c r="B9" s="14" t="inlineStr">
        <is>
          <t>MeanWell HDR-240-24 10A DIN</t>
        </is>
      </c>
      <c r="C9" s="14" t="inlineStr">
        <is>
          <t>MeanWell</t>
        </is>
      </c>
      <c r="D9" s="14" t="inlineStr">
        <is>
          <t>HDR-240-24</t>
        </is>
      </c>
      <c r="E9" s="14" t="n">
        <v>9</v>
      </c>
      <c r="F9" s="14" t="inlineStr">
        <is>
          <t>ea</t>
        </is>
      </c>
      <c r="G9" s="15" t="n">
        <v>75</v>
      </c>
      <c r="H9" s="15">
        <f>E9*G9</f>
        <v/>
      </c>
      <c r="I9" s="14" t="inlineStr"/>
    </row>
    <row r="10" ht="18" customHeight="1">
      <c r="A10" s="16" t="n">
        <v>8</v>
      </c>
      <c r="B10" s="16" t="inlineStr">
        <is>
          <t>MeanWell HDR-320-24 13.3A DIN</t>
        </is>
      </c>
      <c r="C10" s="16" t="inlineStr">
        <is>
          <t>MeanWell</t>
        </is>
      </c>
      <c r="D10" s="16" t="inlineStr">
        <is>
          <t>HDR-320-24</t>
        </is>
      </c>
      <c r="E10" s="16" t="n">
        <v>9</v>
      </c>
      <c r="F10" s="16" t="inlineStr">
        <is>
          <t>ea</t>
        </is>
      </c>
      <c r="G10" s="17" t="n">
        <v>95</v>
      </c>
      <c r="H10" s="17">
        <f>E10*G10</f>
        <v/>
      </c>
      <c r="I10" s="16" t="inlineStr"/>
    </row>
    <row r="11" ht="18" customHeight="1">
      <c r="A11" s="14" t="n">
        <v>9</v>
      </c>
      <c r="B11" s="14" t="inlineStr">
        <is>
          <t>MeanWell HDR-360-24 15A DIN</t>
        </is>
      </c>
      <c r="C11" s="14" t="inlineStr">
        <is>
          <t>MeanWell</t>
        </is>
      </c>
      <c r="D11" s="14" t="inlineStr">
        <is>
          <t>HDR-360-24</t>
        </is>
      </c>
      <c r="E11" s="14" t="n">
        <v>1</v>
      </c>
      <c r="F11" s="14" t="inlineStr">
        <is>
          <t>ea</t>
        </is>
      </c>
      <c r="G11" s="15" t="n">
        <v>110</v>
      </c>
      <c r="H11" s="15">
        <f>E11*G11</f>
        <v/>
      </c>
      <c r="I11" s="14" t="inlineStr"/>
    </row>
    <row r="12" ht="18" customHeight="1">
      <c r="A12" s="16" t="n">
        <v>10</v>
      </c>
      <c r="B12" s="16" t="inlineStr">
        <is>
          <t>MeanWell HDR-480-24 20A DIN</t>
        </is>
      </c>
      <c r="C12" s="16" t="inlineStr">
        <is>
          <t>MeanWell</t>
        </is>
      </c>
      <c r="D12" s="16" t="inlineStr">
        <is>
          <t>HDR-480-24</t>
        </is>
      </c>
      <c r="E12" s="16" t="n">
        <v>10</v>
      </c>
      <c r="F12" s="16" t="inlineStr">
        <is>
          <t>ea</t>
        </is>
      </c>
      <c r="G12" s="17" t="n">
        <v>130</v>
      </c>
      <c r="H12" s="17">
        <f>E12*G12</f>
        <v/>
      </c>
      <c r="I12" s="16" t="inlineStr"/>
    </row>
    <row r="13" ht="18" customHeight="1">
      <c r="A13" s="14" t="n">
        <v>11</v>
      </c>
      <c r="B13" s="14" t="inlineStr">
        <is>
          <t>24V Fused Distribution Block</t>
        </is>
      </c>
      <c r="C13" s="14" t="inlineStr">
        <is>
          <t>Wago</t>
        </is>
      </c>
      <c r="D13" s="14" t="inlineStr">
        <is>
          <t>—</t>
        </is>
      </c>
      <c r="E13" s="14" t="n">
        <v>8</v>
      </c>
      <c r="F13" s="14" t="inlineStr">
        <is>
          <t>ea</t>
        </is>
      </c>
      <c r="G13" s="15" t="n">
        <v>65</v>
      </c>
      <c r="H13" s="15">
        <f>E13*G13</f>
        <v/>
      </c>
      <c r="I13" s="14" t="inlineStr">
        <is>
          <t>2 per panel</t>
        </is>
      </c>
    </row>
    <row r="14" ht="18" customHeight="1">
      <c r="A14" s="16" t="n">
        <v>12</v>
      </c>
      <c r="B14" s="16" t="inlineStr">
        <is>
          <t>Homey Pro 2023 smart hub</t>
        </is>
      </c>
      <c r="C14" s="16" t="inlineStr">
        <is>
          <t>Athom</t>
        </is>
      </c>
      <c r="D14" s="16" t="inlineStr">
        <is>
          <t>Homey Pro</t>
        </is>
      </c>
      <c r="E14" s="16" t="n">
        <v>1</v>
      </c>
      <c r="F14" s="16" t="inlineStr">
        <is>
          <t>ea</t>
        </is>
      </c>
      <c r="G14" s="17" t="n">
        <v>300</v>
      </c>
      <c r="H14" s="17">
        <f>E14*G14</f>
        <v/>
      </c>
      <c r="I14" s="16" t="inlineStr"/>
    </row>
    <row r="15" ht="18" customHeight="1">
      <c r="A15" s="14" t="n">
        <v>13</v>
      </c>
      <c r="B15" s="14" t="inlineStr">
        <is>
          <t>POE Switch managed</t>
        </is>
      </c>
      <c r="C15" s="14" t="inlineStr">
        <is>
          <t>—</t>
        </is>
      </c>
      <c r="D15" s="14" t="inlineStr">
        <is>
          <t>—</t>
        </is>
      </c>
      <c r="E15" s="14" t="n">
        <v>1</v>
      </c>
      <c r="F15" s="14" t="inlineStr">
        <is>
          <t>ea</t>
        </is>
      </c>
      <c r="G15" s="15" t="n">
        <v>180</v>
      </c>
      <c r="H15" s="15">
        <f>E15*G15</f>
        <v/>
      </c>
      <c r="I15" s="14" t="inlineStr"/>
    </row>
    <row r="16" ht="18" customHeight="1">
      <c r="A16" s="16" t="n">
        <v>14</v>
      </c>
      <c r="B16" s="16" t="inlineStr">
        <is>
          <t>40A/240V Circuit Breaker</t>
        </is>
      </c>
      <c r="C16" s="16" t="inlineStr">
        <is>
          <t>Leviton</t>
        </is>
      </c>
      <c r="D16" s="16" t="inlineStr">
        <is>
          <t>—</t>
        </is>
      </c>
      <c r="E16" s="16" t="n">
        <v>4</v>
      </c>
      <c r="F16" s="16" t="inlineStr">
        <is>
          <t>ea</t>
        </is>
      </c>
      <c r="G16" s="17" t="n">
        <v>25</v>
      </c>
      <c r="H16" s="17">
        <f>E16*G16</f>
        <v/>
      </c>
      <c r="I16" s="16" t="inlineStr"/>
    </row>
    <row r="17" ht="18" customHeight="1">
      <c r="A17" s="14" t="n">
        <v>15</v>
      </c>
      <c r="B17" s="14" t="inlineStr">
        <is>
          <t>30A/240V Circuit Breaker</t>
        </is>
      </c>
      <c r="C17" s="14" t="inlineStr">
        <is>
          <t>Leviton</t>
        </is>
      </c>
      <c r="D17" s="14" t="inlineStr">
        <is>
          <t>—</t>
        </is>
      </c>
      <c r="E17" s="14" t="n">
        <v>6</v>
      </c>
      <c r="F17" s="14" t="inlineStr">
        <is>
          <t>ea</t>
        </is>
      </c>
      <c r="G17" s="15" t="n">
        <v>18</v>
      </c>
      <c r="H17" s="15">
        <f>E17*G17</f>
        <v/>
      </c>
      <c r="I17" s="14" t="inlineStr"/>
    </row>
    <row r="18" ht="18" customHeight="1">
      <c r="A18" s="16" t="n">
        <v>16</v>
      </c>
      <c r="B18" s="16" t="inlineStr">
        <is>
          <t>20A/120V Circuit Breaker</t>
        </is>
      </c>
      <c r="C18" s="16" t="inlineStr">
        <is>
          <t>Leviton</t>
        </is>
      </c>
      <c r="D18" s="16" t="inlineStr">
        <is>
          <t>—</t>
        </is>
      </c>
      <c r="E18" s="16" t="n">
        <v>30</v>
      </c>
      <c r="F18" s="16" t="inlineStr">
        <is>
          <t>ea</t>
        </is>
      </c>
      <c r="G18" s="17" t="n">
        <v>12</v>
      </c>
      <c r="H18" s="17">
        <f>E18*G18</f>
        <v/>
      </c>
      <c r="I18" s="16" t="inlineStr"/>
    </row>
    <row r="19" ht="18" customHeight="1">
      <c r="A19" s="14" t="n">
        <v>17</v>
      </c>
      <c r="B19" s="14" t="inlineStr">
        <is>
          <t>15A/120V Circuit Breaker</t>
        </is>
      </c>
      <c r="C19" s="14" t="inlineStr">
        <is>
          <t>Leviton</t>
        </is>
      </c>
      <c r="D19" s="14" t="inlineStr">
        <is>
          <t>—</t>
        </is>
      </c>
      <c r="E19" s="14" t="n">
        <v>20</v>
      </c>
      <c r="F19" s="14" t="inlineStr">
        <is>
          <t>ea</t>
        </is>
      </c>
      <c r="G19" s="15" t="n">
        <v>10</v>
      </c>
      <c r="H19" s="15">
        <f>E19*G19</f>
        <v/>
      </c>
      <c r="I19" s="14" t="inlineStr"/>
    </row>
    <row r="20" ht="18" customHeight="1">
      <c r="A20" s="16" t="n">
        <v>18</v>
      </c>
      <c r="B20" s="16" t="inlineStr">
        <is>
          <t>HVAC Disconnect 60A</t>
        </is>
      </c>
      <c r="C20" s="16" t="inlineStr">
        <is>
          <t>Square D</t>
        </is>
      </c>
      <c r="D20" s="16" t="inlineStr">
        <is>
          <t>DU222RB</t>
        </is>
      </c>
      <c r="E20" s="16" t="n">
        <v>13</v>
      </c>
      <c r="F20" s="16" t="inlineStr">
        <is>
          <t>ea</t>
        </is>
      </c>
      <c r="G20" s="17" t="n">
        <v>45</v>
      </c>
      <c r="H20" s="17">
        <f>E20*G20</f>
        <v/>
      </c>
      <c r="I20" s="16" t="inlineStr">
        <is>
          <t>E100</t>
        </is>
      </c>
    </row>
    <row r="21" ht="18" customHeight="1">
      <c r="A21" s="14" t="n">
        <v>19</v>
      </c>
      <c r="B21" s="14" t="inlineStr">
        <is>
          <t>Smoke Detector hardwired</t>
        </is>
      </c>
      <c r="C21" s="14" t="inlineStr">
        <is>
          <t>Kidde</t>
        </is>
      </c>
      <c r="D21" s="14" t="inlineStr">
        <is>
          <t>—</t>
        </is>
      </c>
      <c r="E21" s="14" t="n">
        <v>9</v>
      </c>
      <c r="F21" s="14" t="inlineStr">
        <is>
          <t>ea</t>
        </is>
      </c>
      <c r="G21" s="15" t="n">
        <v>35</v>
      </c>
      <c r="H21" s="15">
        <f>E21*G21</f>
        <v/>
      </c>
      <c r="I21" s="14" t="inlineStr"/>
    </row>
    <row r="22" ht="22" customHeight="1">
      <c r="A22" s="18" t="inlineStr">
        <is>
          <t>SUBTOTAL — 8-Panels &amp; Controls</t>
        </is>
      </c>
      <c r="H22" s="19">
        <f>SUM(H3:H21)</f>
        <v/>
      </c>
    </row>
  </sheetData>
  <mergeCells count="2">
    <mergeCell ref="A1:I1"/>
    <mergeCell ref="A22:G2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8" customWidth="1" min="3" max="3"/>
    <col width="22" customWidth="1" min="4" max="4"/>
    <col width="7" customWidth="1" min="5" max="5"/>
    <col width="7" customWidth="1" min="6" max="6"/>
    <col width="12" customWidth="1" min="7" max="7"/>
    <col width="14" customWidth="1" min="8" max="8"/>
    <col width="30" customWidth="1" min="9" max="9"/>
  </cols>
  <sheetData>
    <row r="1" ht="24" customHeight="1">
      <c r="A1" s="12" t="inlineStr">
        <is>
          <t>9-CONSUMABLES</t>
        </is>
      </c>
    </row>
    <row r="2" ht="30" customHeight="1">
      <c r="A2" s="13" t="inlineStr">
        <is>
          <t>#</t>
        </is>
      </c>
      <c r="B2" s="13" t="inlineStr">
        <is>
          <t>Item / Description</t>
        </is>
      </c>
      <c r="C2" s="13" t="inlineStr">
        <is>
          <t>Manufacturer</t>
        </is>
      </c>
      <c r="D2" s="13" t="inlineStr">
        <is>
          <t>Model / Part #</t>
        </is>
      </c>
      <c r="E2" s="13" t="inlineStr">
        <is>
          <t>Qty</t>
        </is>
      </c>
      <c r="F2" s="13" t="inlineStr">
        <is>
          <t>Unit</t>
        </is>
      </c>
      <c r="G2" s="13" t="inlineStr">
        <is>
          <t>Unit Price</t>
        </is>
      </c>
      <c r="H2" s="13" t="inlineStr">
        <is>
          <t>Extended</t>
        </is>
      </c>
      <c r="I2" s="13" t="inlineStr">
        <is>
          <t>Notes</t>
        </is>
      </c>
    </row>
    <row r="3" ht="18" customHeight="1">
      <c r="A3" s="14" t="n">
        <v>1</v>
      </c>
      <c r="B3" s="14" t="inlineStr">
        <is>
          <t>Wago 221-412 2-pos connector</t>
        </is>
      </c>
      <c r="C3" s="14" t="inlineStr">
        <is>
          <t>Wago</t>
        </is>
      </c>
      <c r="D3" s="14" t="inlineStr">
        <is>
          <t>221-412</t>
        </is>
      </c>
      <c r="E3" s="14" t="n">
        <v>200</v>
      </c>
      <c r="F3" s="14" t="inlineStr">
        <is>
          <t>ea</t>
        </is>
      </c>
      <c r="G3" s="15" t="n">
        <v>0.45</v>
      </c>
      <c r="H3" s="15">
        <f>E3*G3</f>
        <v/>
      </c>
      <c r="I3" s="14" t="inlineStr"/>
    </row>
    <row r="4" ht="18" customHeight="1">
      <c r="A4" s="16" t="n">
        <v>2</v>
      </c>
      <c r="B4" s="16" t="inlineStr">
        <is>
          <t>Wago 221-413 3-pos connector</t>
        </is>
      </c>
      <c r="C4" s="16" t="inlineStr">
        <is>
          <t>Wago</t>
        </is>
      </c>
      <c r="D4" s="16" t="inlineStr">
        <is>
          <t>221-413</t>
        </is>
      </c>
      <c r="E4" s="16" t="n">
        <v>200</v>
      </c>
      <c r="F4" s="16" t="inlineStr">
        <is>
          <t>ea</t>
        </is>
      </c>
      <c r="G4" s="17" t="n">
        <v>0.55</v>
      </c>
      <c r="H4" s="17">
        <f>E4*G4</f>
        <v/>
      </c>
      <c r="I4" s="16" t="inlineStr"/>
    </row>
    <row r="5" ht="18" customHeight="1">
      <c r="A5" s="14" t="n">
        <v>3</v>
      </c>
      <c r="B5" s="14" t="inlineStr">
        <is>
          <t>Wire Nut Assortment</t>
        </is>
      </c>
      <c r="C5" s="14" t="inlineStr">
        <is>
          <t>Ideal</t>
        </is>
      </c>
      <c r="D5" s="14" t="inlineStr">
        <is>
          <t>30-1721</t>
        </is>
      </c>
      <c r="E5" s="14" t="n">
        <v>2</v>
      </c>
      <c r="F5" s="14" t="inlineStr">
        <is>
          <t>bag</t>
        </is>
      </c>
      <c r="G5" s="15" t="n">
        <v>18</v>
      </c>
      <c r="H5" s="15">
        <f>E5*G5</f>
        <v/>
      </c>
      <c r="I5" s="14" t="inlineStr"/>
    </row>
    <row r="6" ht="18" customHeight="1">
      <c r="A6" s="16" t="n">
        <v>4</v>
      </c>
      <c r="B6" s="16" t="inlineStr">
        <is>
          <t>Cable Staple 1/2" NM</t>
        </is>
      </c>
      <c r="C6" s="16" t="inlineStr">
        <is>
          <t>Gardner Bender</t>
        </is>
      </c>
      <c r="D6" s="16" t="inlineStr">
        <is>
          <t>—</t>
        </is>
      </c>
      <c r="E6" s="16" t="n">
        <v>500</v>
      </c>
      <c r="F6" s="16" t="inlineStr">
        <is>
          <t>ea</t>
        </is>
      </c>
      <c r="G6" s="17" t="n">
        <v>0.08</v>
      </c>
      <c r="H6" s="17">
        <f>E6*G6</f>
        <v/>
      </c>
      <c r="I6" s="16" t="inlineStr"/>
    </row>
    <row r="7" ht="18" customHeight="1">
      <c r="A7" s="14" t="n">
        <v>5</v>
      </c>
      <c r="B7" s="14" t="inlineStr">
        <is>
          <t>Cable Staple 3/4" NM</t>
        </is>
      </c>
      <c r="C7" s="14" t="inlineStr">
        <is>
          <t>Gardner Bender</t>
        </is>
      </c>
      <c r="D7" s="14" t="inlineStr">
        <is>
          <t>—</t>
        </is>
      </c>
      <c r="E7" s="14" t="n">
        <v>200</v>
      </c>
      <c r="F7" s="14" t="inlineStr">
        <is>
          <t>ea</t>
        </is>
      </c>
      <c r="G7" s="15" t="n">
        <v>0.1</v>
      </c>
      <c r="H7" s="15">
        <f>E7*G7</f>
        <v/>
      </c>
      <c r="I7" s="14" t="inlineStr"/>
    </row>
    <row r="8" ht="18" customHeight="1">
      <c r="A8" s="16" t="n">
        <v>6</v>
      </c>
      <c r="B8" s="16" t="inlineStr">
        <is>
          <t>Romex Connector 1/2"</t>
        </is>
      </c>
      <c r="C8" s="16" t="inlineStr">
        <is>
          <t>Halex</t>
        </is>
      </c>
      <c r="D8" s="16" t="inlineStr">
        <is>
          <t>—</t>
        </is>
      </c>
      <c r="E8" s="16" t="n">
        <v>150</v>
      </c>
      <c r="F8" s="16" t="inlineStr">
        <is>
          <t>ea</t>
        </is>
      </c>
      <c r="G8" s="17" t="n">
        <v>0.65</v>
      </c>
      <c r="H8" s="17">
        <f>E8*G8</f>
        <v/>
      </c>
      <c r="I8" s="16" t="inlineStr"/>
    </row>
    <row r="9" ht="18" customHeight="1">
      <c r="A9" s="14" t="n">
        <v>7</v>
      </c>
      <c r="B9" s="14" t="inlineStr">
        <is>
          <t>Romex Connector 3/4"</t>
        </is>
      </c>
      <c r="C9" s="14" t="inlineStr">
        <is>
          <t>Halex</t>
        </is>
      </c>
      <c r="D9" s="14" t="inlineStr">
        <is>
          <t>—</t>
        </is>
      </c>
      <c r="E9" s="14" t="n">
        <v>50</v>
      </c>
      <c r="F9" s="14" t="inlineStr">
        <is>
          <t>ea</t>
        </is>
      </c>
      <c r="G9" s="15" t="n">
        <v>0.85</v>
      </c>
      <c r="H9" s="15">
        <f>E9*G9</f>
        <v/>
      </c>
      <c r="I9" s="14" t="inlineStr"/>
    </row>
    <row r="10" ht="18" customHeight="1">
      <c r="A10" s="16" t="n">
        <v>8</v>
      </c>
      <c r="B10" s="16" t="inlineStr">
        <is>
          <t>EMT Connector 3/4"</t>
        </is>
      </c>
      <c r="C10" s="16" t="inlineStr">
        <is>
          <t>Raco</t>
        </is>
      </c>
      <c r="D10" s="16" t="inlineStr">
        <is>
          <t>—</t>
        </is>
      </c>
      <c r="E10" s="16" t="n">
        <v>30</v>
      </c>
      <c r="F10" s="16" t="inlineStr">
        <is>
          <t>ea</t>
        </is>
      </c>
      <c r="G10" s="17" t="n">
        <v>1.2</v>
      </c>
      <c r="H10" s="17">
        <f>E10*G10</f>
        <v/>
      </c>
      <c r="I10" s="16" t="inlineStr"/>
    </row>
    <row r="11" ht="18" customHeight="1">
      <c r="A11" s="14" t="n">
        <v>9</v>
      </c>
      <c r="B11" s="14" t="inlineStr">
        <is>
          <t>EMT Connector 1"</t>
        </is>
      </c>
      <c r="C11" s="14" t="inlineStr">
        <is>
          <t>Raco</t>
        </is>
      </c>
      <c r="D11" s="14" t="inlineStr">
        <is>
          <t>—</t>
        </is>
      </c>
      <c r="E11" s="14" t="n">
        <v>20</v>
      </c>
      <c r="F11" s="14" t="inlineStr">
        <is>
          <t>ea</t>
        </is>
      </c>
      <c r="G11" s="15" t="n">
        <v>1.8</v>
      </c>
      <c r="H11" s="15">
        <f>E11*G11</f>
        <v/>
      </c>
      <c r="I11" s="14" t="inlineStr"/>
    </row>
    <row r="12" ht="18" customHeight="1">
      <c r="A12" s="16" t="n">
        <v>10</v>
      </c>
      <c r="B12" s="16" t="inlineStr">
        <is>
          <t>Electrical Tape 10-pk</t>
        </is>
      </c>
      <c r="C12" s="16" t="inlineStr">
        <is>
          <t>Scotch</t>
        </is>
      </c>
      <c r="D12" s="16" t="inlineStr">
        <is>
          <t>Super 33+</t>
        </is>
      </c>
      <c r="E12" s="16" t="n">
        <v>4</v>
      </c>
      <c r="F12" s="16" t="inlineStr">
        <is>
          <t>pk</t>
        </is>
      </c>
      <c r="G12" s="17" t="n">
        <v>14</v>
      </c>
      <c r="H12" s="17">
        <f>E12*G12</f>
        <v/>
      </c>
      <c r="I12" s="16" t="inlineStr"/>
    </row>
    <row r="13" ht="18" customHeight="1">
      <c r="A13" s="14" t="n">
        <v>11</v>
      </c>
      <c r="B13" s="14" t="inlineStr">
        <is>
          <t>Wire Stripper/Cutter</t>
        </is>
      </c>
      <c r="C13" s="14" t="inlineStr">
        <is>
          <t>Klein</t>
        </is>
      </c>
      <c r="D13" s="14" t="inlineStr">
        <is>
          <t>11057</t>
        </is>
      </c>
      <c r="E13" s="14" t="n">
        <v>2</v>
      </c>
      <c r="F13" s="14" t="inlineStr">
        <is>
          <t>ea</t>
        </is>
      </c>
      <c r="G13" s="15" t="n">
        <v>45</v>
      </c>
      <c r="H13" s="15">
        <f>E13*G13</f>
        <v/>
      </c>
      <c r="I13" s="14" t="inlineStr"/>
    </row>
    <row r="14" ht="18" customHeight="1">
      <c r="A14" s="16" t="n">
        <v>12</v>
      </c>
      <c r="B14" s="16" t="inlineStr">
        <is>
          <t>Voltage Tester</t>
        </is>
      </c>
      <c r="C14" s="16" t="inlineStr">
        <is>
          <t>Klein</t>
        </is>
      </c>
      <c r="D14" s="16" t="inlineStr">
        <is>
          <t>NCVT-3P</t>
        </is>
      </c>
      <c r="E14" s="16" t="n">
        <v>2</v>
      </c>
      <c r="F14" s="16" t="inlineStr">
        <is>
          <t>ea</t>
        </is>
      </c>
      <c r="G14" s="17" t="n">
        <v>35</v>
      </c>
      <c r="H14" s="17">
        <f>E14*G14</f>
        <v/>
      </c>
      <c r="I14" s="16" t="inlineStr"/>
    </row>
    <row r="15" ht="18" customHeight="1">
      <c r="A15" s="14" t="n">
        <v>13</v>
      </c>
      <c r="B15" s="14" t="inlineStr">
        <is>
          <t>Low-Voltage Staple Gun</t>
        </is>
      </c>
      <c r="C15" s="14" t="inlineStr">
        <is>
          <t>Klein</t>
        </is>
      </c>
      <c r="D15" s="14" t="inlineStr">
        <is>
          <t>VDV900-100</t>
        </is>
      </c>
      <c r="E15" s="14" t="n">
        <v>1</v>
      </c>
      <c r="F15" s="14" t="inlineStr">
        <is>
          <t>ea</t>
        </is>
      </c>
      <c r="G15" s="15" t="n">
        <v>95</v>
      </c>
      <c r="H15" s="15">
        <f>E15*G15</f>
        <v/>
      </c>
      <c r="I15" s="14" t="inlineStr">
        <is>
          <t>Cat6A/AV</t>
        </is>
      </c>
    </row>
    <row r="16" ht="18" customHeight="1">
      <c r="A16" s="16" t="n">
        <v>14</v>
      </c>
      <c r="B16" s="16" t="inlineStr">
        <is>
          <t>Fish Tape 50ft</t>
        </is>
      </c>
      <c r="C16" s="16" t="inlineStr">
        <is>
          <t>Klein</t>
        </is>
      </c>
      <c r="D16" s="16" t="inlineStr">
        <is>
          <t>56350</t>
        </is>
      </c>
      <c r="E16" s="16" t="n">
        <v>1</v>
      </c>
      <c r="F16" s="16" t="inlineStr">
        <is>
          <t>ea</t>
        </is>
      </c>
      <c r="G16" s="17" t="n">
        <v>65</v>
      </c>
      <c r="H16" s="17">
        <f>E16*G16</f>
        <v/>
      </c>
      <c r="I16" s="16" t="inlineStr"/>
    </row>
    <row r="17" ht="18" customHeight="1">
      <c r="A17" s="14" t="n">
        <v>15</v>
      </c>
      <c r="B17" s="14" t="inlineStr">
        <is>
          <t>Cable Puller Lubricant</t>
        </is>
      </c>
      <c r="C17" s="14" t="inlineStr">
        <is>
          <t>Ideal</t>
        </is>
      </c>
      <c r="D17" s="14" t="inlineStr">
        <is>
          <t>31-358</t>
        </is>
      </c>
      <c r="E17" s="14" t="n">
        <v>2</v>
      </c>
      <c r="F17" s="14" t="inlineStr">
        <is>
          <t>qt</t>
        </is>
      </c>
      <c r="G17" s="15" t="n">
        <v>22</v>
      </c>
      <c r="H17" s="15">
        <f>E17*G17</f>
        <v/>
      </c>
      <c r="I17" s="14" t="inlineStr"/>
    </row>
    <row r="18" ht="18" customHeight="1">
      <c r="A18" s="16" t="n">
        <v>16</v>
      </c>
      <c r="B18" s="16" t="inlineStr">
        <is>
          <t>Blank Cover Plates</t>
        </is>
      </c>
      <c r="C18" s="16" t="inlineStr">
        <is>
          <t>Leviton</t>
        </is>
      </c>
      <c r="D18" s="16" t="inlineStr">
        <is>
          <t>—</t>
        </is>
      </c>
      <c r="E18" s="16" t="n">
        <v>30</v>
      </c>
      <c r="F18" s="16" t="inlineStr">
        <is>
          <t>ea</t>
        </is>
      </c>
      <c r="G18" s="17" t="n">
        <v>1.5</v>
      </c>
      <c r="H18" s="17">
        <f>E18*G18</f>
        <v/>
      </c>
      <c r="I18" s="16" t="inlineStr"/>
    </row>
    <row r="19" ht="18" customHeight="1">
      <c r="A19" s="14" t="n">
        <v>17</v>
      </c>
      <c r="B19" s="14" t="inlineStr">
        <is>
          <t>Duplex Cover Plates</t>
        </is>
      </c>
      <c r="C19" s="14" t="inlineStr">
        <is>
          <t>Leviton</t>
        </is>
      </c>
      <c r="D19" s="14" t="inlineStr">
        <is>
          <t>—</t>
        </is>
      </c>
      <c r="E19" s="14" t="n">
        <v>80</v>
      </c>
      <c r="F19" s="14" t="inlineStr">
        <is>
          <t>ea</t>
        </is>
      </c>
      <c r="G19" s="15" t="n">
        <v>2.25</v>
      </c>
      <c r="H19" s="15">
        <f>E19*G19</f>
        <v/>
      </c>
      <c r="I19" s="14" t="inlineStr"/>
    </row>
    <row r="20" ht="18" customHeight="1">
      <c r="A20" s="16" t="n">
        <v>18</v>
      </c>
      <c r="B20" s="16" t="inlineStr">
        <is>
          <t>GFCI Cover Plates</t>
        </is>
      </c>
      <c r="C20" s="16" t="inlineStr">
        <is>
          <t>Leviton</t>
        </is>
      </c>
      <c r="D20" s="16" t="inlineStr">
        <is>
          <t>—</t>
        </is>
      </c>
      <c r="E20" s="16" t="n">
        <v>30</v>
      </c>
      <c r="F20" s="16" t="inlineStr">
        <is>
          <t>ea</t>
        </is>
      </c>
      <c r="G20" s="17" t="n">
        <v>3</v>
      </c>
      <c r="H20" s="17">
        <f>E20*G20</f>
        <v/>
      </c>
      <c r="I20" s="16" t="inlineStr"/>
    </row>
    <row r="21" ht="18" customHeight="1">
      <c r="A21" s="14" t="n">
        <v>19</v>
      </c>
      <c r="B21" s="14" t="inlineStr">
        <is>
          <t>Data Keystone Jack Cat6A</t>
        </is>
      </c>
      <c r="C21" s="14" t="inlineStr">
        <is>
          <t>Belden</t>
        </is>
      </c>
      <c r="D21" s="14" t="inlineStr">
        <is>
          <t>AX104147</t>
        </is>
      </c>
      <c r="E21" s="14" t="n">
        <v>60</v>
      </c>
      <c r="F21" s="14" t="inlineStr">
        <is>
          <t>ea</t>
        </is>
      </c>
      <c r="G21" s="15" t="n">
        <v>8.5</v>
      </c>
      <c r="H21" s="15">
        <f>E21*G21</f>
        <v/>
      </c>
      <c r="I21" s="14" t="inlineStr">
        <is>
          <t>All LAN drops</t>
        </is>
      </c>
    </row>
    <row r="22" ht="18" customHeight="1">
      <c r="A22" s="16" t="n">
        <v>20</v>
      </c>
      <c r="B22" s="16" t="inlineStr">
        <is>
          <t>Surface Raceway Kit</t>
        </is>
      </c>
      <c r="C22" s="16" t="inlineStr">
        <is>
          <t>Wiremold</t>
        </is>
      </c>
      <c r="D22" s="16" t="inlineStr">
        <is>
          <t>700 Series</t>
        </is>
      </c>
      <c r="E22" s="16" t="n">
        <v>2</v>
      </c>
      <c r="F22" s="16" t="inlineStr">
        <is>
          <t>kit</t>
        </is>
      </c>
      <c r="G22" s="17" t="n">
        <v>85</v>
      </c>
      <c r="H22" s="17">
        <f>E22*G22</f>
        <v/>
      </c>
      <c r="I22" s="16" t="inlineStr"/>
    </row>
    <row r="23" ht="22" customHeight="1">
      <c r="A23" s="18" t="inlineStr">
        <is>
          <t>SUBTOTAL — 9-Consumables</t>
        </is>
      </c>
      <c r="H23" s="19">
        <f>SUM(H3:H22)</f>
        <v/>
      </c>
    </row>
  </sheetData>
  <mergeCells count="2">
    <mergeCell ref="A1:I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2026-03-05T19:11:15Z</dcterms:created>
  <dcterms:modified xmlns:dcterms="http://purl.org/dc/terms/" xmlns:xsi="http://www.w3.org/2001/XMLSchema-instance" xsi:type="dcterms:W3CDTF">2026-03-05T19:11:15Z</dcterms:modified>
</cp:coreProperties>
</file>