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do" sheetId="1" r:id="rId4"/>
    <sheet state="visible" name="Budget1" sheetId="2" r:id="rId5"/>
    <sheet state="visible" name="Sheet29" sheetId="3" r:id="rId6"/>
    <sheet state="visible" name="Fixtures" sheetId="4" r:id="rId7"/>
    <sheet state="visible" name="Appliance" sheetId="5" r:id="rId8"/>
    <sheet state="visible" name="Load" sheetId="6" r:id="rId9"/>
    <sheet state="visible" name="Schedule" sheetId="7" r:id="rId10"/>
    <sheet state="visible" name="Tammy" sheetId="8" r:id="rId11"/>
    <sheet state="hidden" name="Budget" sheetId="9" r:id="rId12"/>
  </sheets>
  <definedNames/>
  <calcPr/>
  <extLst>
    <ext uri="GoogleSheetsCustomDataVersion2">
      <go:sheetsCustomData xmlns:go="http://customooxmlschemas.google.com/" r:id="rId13" roundtripDataChecksum="SgDdKGzWcWsHHCKlMdgohF4nb0CXBCFEK3y/GjpRSc4="/>
    </ext>
  </extLst>
</workbook>
</file>

<file path=xl/sharedStrings.xml><?xml version="1.0" encoding="utf-8"?>
<sst xmlns="http://schemas.openxmlformats.org/spreadsheetml/2006/main" count="1489" uniqueCount="818">
  <si>
    <t>Lot 2, Trumbull -</t>
  </si>
  <si>
    <t>Questions</t>
  </si>
  <si>
    <t>Drawing</t>
  </si>
  <si>
    <t>Structural</t>
  </si>
  <si>
    <t>Rosenberg</t>
  </si>
  <si>
    <t>krystals@racivil.com</t>
  </si>
  <si>
    <t>435-218-9510</t>
  </si>
  <si>
    <t>Ceiling/Wall</t>
  </si>
  <si>
    <t>Manual J&amp;D</t>
  </si>
  <si>
    <t>emailed</t>
  </si>
  <si>
    <t>Geo</t>
  </si>
  <si>
    <t>Gem</t>
  </si>
  <si>
    <t>brennan@gemenginc.com</t>
  </si>
  <si>
    <t>Niche</t>
  </si>
  <si>
    <t>Jones</t>
  </si>
  <si>
    <t>Permit</t>
  </si>
  <si>
    <t>Lot 3,  Casey- 435-229-7948</t>
  </si>
  <si>
    <t>Fitures</t>
  </si>
  <si>
    <t>Survey</t>
  </si>
  <si>
    <t>fans</t>
  </si>
  <si>
    <t>Sign</t>
  </si>
  <si>
    <t>Trumbell Bundy</t>
  </si>
  <si>
    <t>Wall Tile</t>
  </si>
  <si>
    <t>Switch legs</t>
  </si>
  <si>
    <t>435 218 9510</t>
  </si>
  <si>
    <t>Vanity mirror</t>
  </si>
  <si>
    <t>Panel Calcs</t>
  </si>
  <si>
    <t>Road Prep</t>
  </si>
  <si>
    <t>Dom Klesch</t>
  </si>
  <si>
    <t>435-463-8210</t>
  </si>
  <si>
    <t>Seth Newtson</t>
  </si>
  <si>
    <t>120 Fixture problems</t>
  </si>
  <si>
    <t>Switching</t>
  </si>
  <si>
    <t>Well</t>
  </si>
  <si>
    <t xml:space="preserve">Todd </t>
  </si>
  <si>
    <t>Wood floor Adu Closet</t>
  </si>
  <si>
    <t>Topo/Grading</t>
  </si>
  <si>
    <t xml:space="preserve">Power </t>
  </si>
  <si>
    <t>435 705 4264</t>
  </si>
  <si>
    <t xml:space="preserve">Gas </t>
  </si>
  <si>
    <t>.</t>
  </si>
  <si>
    <t>Septic</t>
  </si>
  <si>
    <t>Internet</t>
  </si>
  <si>
    <t>Temp Facilities</t>
  </si>
  <si>
    <t>Excavation/Pad Prep/Backfill</t>
  </si>
  <si>
    <t>Concrete</t>
  </si>
  <si>
    <t>Randy Frie</t>
  </si>
  <si>
    <t>Foundatin Wall</t>
  </si>
  <si>
    <t>WaterProffing</t>
  </si>
  <si>
    <t>Termite</t>
  </si>
  <si>
    <t>Steel</t>
  </si>
  <si>
    <t>D Iron works</t>
  </si>
  <si>
    <t>Truss</t>
  </si>
  <si>
    <t>Sunpro</t>
  </si>
  <si>
    <t>smitcheel@sunpro.com</t>
  </si>
  <si>
    <t>Framing Material</t>
  </si>
  <si>
    <t>Sunroc</t>
  </si>
  <si>
    <t>Framing Labor</t>
  </si>
  <si>
    <t>Elwin</t>
  </si>
  <si>
    <t>gieframing502@gmail.com</t>
  </si>
  <si>
    <t>Stair</t>
  </si>
  <si>
    <t>EXT Doors</t>
  </si>
  <si>
    <t>srmitchel@sunpro.com</t>
  </si>
  <si>
    <t>Windows</t>
  </si>
  <si>
    <t>STG</t>
  </si>
  <si>
    <t>nathan@lpbuildingsolutions.com</t>
  </si>
  <si>
    <t>Glass</t>
  </si>
  <si>
    <t>Roofing</t>
  </si>
  <si>
    <t>Roof Deck</t>
  </si>
  <si>
    <t>Roof Metal</t>
  </si>
  <si>
    <t>Stucco</t>
  </si>
  <si>
    <t>Simco</t>
  </si>
  <si>
    <t>Stone</t>
  </si>
  <si>
    <t>Rammed Earth</t>
  </si>
  <si>
    <t>Clayworks</t>
  </si>
  <si>
    <t>ger@clay-works.com</t>
  </si>
  <si>
    <t>Allysa Oliver</t>
  </si>
  <si>
    <t>Rammed Earth Labor</t>
  </si>
  <si>
    <t>Woodland Stucco</t>
  </si>
  <si>
    <t>woodlandstuccoandpaint@gmail.com</t>
  </si>
  <si>
    <t>30 int 40 Ex</t>
  </si>
  <si>
    <t xml:space="preserve">Labor only </t>
  </si>
  <si>
    <t>Mechanical</t>
  </si>
  <si>
    <t>Dash</t>
  </si>
  <si>
    <t>Plumbing</t>
  </si>
  <si>
    <t>Master</t>
  </si>
  <si>
    <t>office@masterplumbingsystems.com</t>
  </si>
  <si>
    <t>Gas</t>
  </si>
  <si>
    <t>Plumbing Fixtures</t>
  </si>
  <si>
    <t>Electrical</t>
  </si>
  <si>
    <t>Electrical Fixtures</t>
  </si>
  <si>
    <t>Solar</t>
  </si>
  <si>
    <t>Solar Material</t>
  </si>
  <si>
    <t>Fireplace</t>
  </si>
  <si>
    <t>Insulation</t>
  </si>
  <si>
    <t>LP</t>
  </si>
  <si>
    <t>Drywall</t>
  </si>
  <si>
    <t>H&amp;E</t>
  </si>
  <si>
    <t>hedrywall1022@gmail.com</t>
  </si>
  <si>
    <t>House</t>
  </si>
  <si>
    <t>Gawal</t>
  </si>
  <si>
    <t>Plaster</t>
  </si>
  <si>
    <t>Paint</t>
  </si>
  <si>
    <t>Jose</t>
  </si>
  <si>
    <t>Garage Door</t>
  </si>
  <si>
    <t>Flooring Material</t>
  </si>
  <si>
    <t>G&amp;S</t>
  </si>
  <si>
    <t>Flooring labor</t>
  </si>
  <si>
    <t xml:space="preserve">Doors </t>
  </si>
  <si>
    <t>Int Doors</t>
  </si>
  <si>
    <t>Hidden door</t>
  </si>
  <si>
    <t>Vault Door</t>
  </si>
  <si>
    <t>Base</t>
  </si>
  <si>
    <t>Hardware</t>
  </si>
  <si>
    <t xml:space="preserve">Carpentry </t>
  </si>
  <si>
    <t>A&amp;L</t>
  </si>
  <si>
    <t>ammon@a&amp;lfinish</t>
  </si>
  <si>
    <t>Cabinet</t>
  </si>
  <si>
    <t>Deez</t>
  </si>
  <si>
    <t>deezcabnuts@gmail.com</t>
  </si>
  <si>
    <t>rrcabinetsinc@gmail.com</t>
  </si>
  <si>
    <t>Closet</t>
  </si>
  <si>
    <t>Tile Material</t>
  </si>
  <si>
    <t>Tile Labor</t>
  </si>
  <si>
    <t>Floor Heat</t>
  </si>
  <si>
    <t>Steam</t>
  </si>
  <si>
    <t>Countertop</t>
  </si>
  <si>
    <t>Countertop Source</t>
  </si>
  <si>
    <t>Bath Hardware</t>
  </si>
  <si>
    <t>Mirrors &amp; Specialty Glass</t>
  </si>
  <si>
    <t>Appliance</t>
  </si>
  <si>
    <t>Boulevard</t>
  </si>
  <si>
    <t>haley.benware@blvdhome.com</t>
  </si>
  <si>
    <t>AV</t>
  </si>
  <si>
    <t>Range</t>
  </si>
  <si>
    <t>Chris</t>
  </si>
  <si>
    <t>chrishr@actiontarget.com</t>
  </si>
  <si>
    <t>Railing</t>
  </si>
  <si>
    <t>Broken Horn</t>
  </si>
  <si>
    <t>Landscape/Drive</t>
  </si>
  <si>
    <t>Pavers</t>
  </si>
  <si>
    <t>Who is it Yes I meet that bunch of real cast like you know you got to watch you I this guy Got fucking indigestion from the sugar Yep Well yeah I feel like I know I've stabbed you you It's not too long that's just not fair to me Oh Whoops</t>
  </si>
  <si>
    <t>646 W Liberty Lane</t>
  </si>
  <si>
    <t>AKA 1025 S</t>
  </si>
  <si>
    <t>Kannerrville</t>
  </si>
  <si>
    <t>Sq Ft</t>
  </si>
  <si>
    <t>Budget</t>
  </si>
  <si>
    <t>CPF</t>
  </si>
  <si>
    <t>Duration</t>
  </si>
  <si>
    <t>Completion</t>
  </si>
  <si>
    <t>Pay Schedule</t>
  </si>
  <si>
    <t>Profit</t>
  </si>
  <si>
    <t>Build Gross</t>
  </si>
  <si>
    <t>Deposit</t>
  </si>
  <si>
    <t>Cost to permit/deposit</t>
  </si>
  <si>
    <t>RAC</t>
  </si>
  <si>
    <t>Hidden Door</t>
  </si>
  <si>
    <t>Entry Stair</t>
  </si>
  <si>
    <t>TGC</t>
  </si>
  <si>
    <t>Alysa Oliver</t>
  </si>
  <si>
    <t>Exterior Glass</t>
  </si>
  <si>
    <t>Rammed earth Material</t>
  </si>
  <si>
    <t>Action Target</t>
  </si>
  <si>
    <t>Permiting</t>
  </si>
  <si>
    <t>Facilities</t>
  </si>
  <si>
    <t>Permits</t>
  </si>
  <si>
    <t>Iron County</t>
  </si>
  <si>
    <t>Total</t>
  </si>
  <si>
    <t>Builders Risk</t>
  </si>
  <si>
    <t>Manual J</t>
  </si>
  <si>
    <t>Plans</t>
  </si>
  <si>
    <t>Steamroller</t>
  </si>
  <si>
    <t>Soil</t>
  </si>
  <si>
    <t>Inspections</t>
  </si>
  <si>
    <t>Site Utilities</t>
  </si>
  <si>
    <t>All right</t>
  </si>
  <si>
    <t>Road</t>
  </si>
  <si>
    <t>Power</t>
  </si>
  <si>
    <t>Water</t>
  </si>
  <si>
    <t>Ftgs</t>
  </si>
  <si>
    <t>Frie</t>
  </si>
  <si>
    <t>Wall</t>
  </si>
  <si>
    <t>Slab</t>
  </si>
  <si>
    <t>Pan</t>
  </si>
  <si>
    <t>Site</t>
  </si>
  <si>
    <t>Pretreat</t>
  </si>
  <si>
    <t>D-Iron Works</t>
  </si>
  <si>
    <t>Lumber</t>
  </si>
  <si>
    <t>DAG</t>
  </si>
  <si>
    <t>SunPro</t>
  </si>
  <si>
    <t>Mechanical Rough</t>
  </si>
  <si>
    <t>HVAC/ERV</t>
  </si>
  <si>
    <t>Plumbing/Gas</t>
  </si>
  <si>
    <t>DAsh</t>
  </si>
  <si>
    <t>Tek it</t>
  </si>
  <si>
    <t>Raven</t>
  </si>
  <si>
    <t xml:space="preserve"> Master</t>
  </si>
  <si>
    <t>Exterior Sealing</t>
  </si>
  <si>
    <t xml:space="preserve">Roofing </t>
  </si>
  <si>
    <t>Coatings</t>
  </si>
  <si>
    <t>Advance</t>
  </si>
  <si>
    <t>Exterior Doors</t>
  </si>
  <si>
    <t>Exterior Stucco</t>
  </si>
  <si>
    <t xml:space="preserve">Stone Veneer </t>
  </si>
  <si>
    <t>Wall/Cieling Finish</t>
  </si>
  <si>
    <t>Sheetrock</t>
  </si>
  <si>
    <t>GS</t>
  </si>
  <si>
    <t>Carpentery</t>
  </si>
  <si>
    <t>Countertops</t>
  </si>
  <si>
    <t>Countertop source</t>
  </si>
  <si>
    <t>Finish Carpentry</t>
  </si>
  <si>
    <t>Door</t>
  </si>
  <si>
    <t xml:space="preserve"> Base&amp;Case</t>
  </si>
  <si>
    <t>Door &amp; Bath Hardware</t>
  </si>
  <si>
    <t>Wood Stair</t>
  </si>
  <si>
    <t>Stair Labor</t>
  </si>
  <si>
    <t>Equipment/ Finishes</t>
  </si>
  <si>
    <t>Blvd</t>
  </si>
  <si>
    <t>Outdoor</t>
  </si>
  <si>
    <t>Cleaning</t>
  </si>
  <si>
    <t xml:space="preserve">Landscape </t>
  </si>
  <si>
    <t>`</t>
  </si>
  <si>
    <t>Contingency</t>
  </si>
  <si>
    <t>Options</t>
  </si>
  <si>
    <t>ex</t>
  </si>
  <si>
    <t>Supply Prropne tank</t>
  </si>
  <si>
    <t>spec waterr collection tank</t>
  </si>
  <si>
    <t>include water pipe to collection</t>
  </si>
  <si>
    <t>well tie in need add</t>
  </si>
  <si>
    <t>That's it</t>
  </si>
  <si>
    <t>Flooring</t>
  </si>
  <si>
    <t>Electircal Fixtures</t>
  </si>
  <si>
    <t>Flooring/Tile</t>
  </si>
  <si>
    <t xml:space="preserve">AV </t>
  </si>
  <si>
    <t>Sinks</t>
  </si>
  <si>
    <t>Paver</t>
  </si>
  <si>
    <t>Glacier Bay 33</t>
  </si>
  <si>
    <t>Kitchen</t>
  </si>
  <si>
    <t>Pergo</t>
  </si>
  <si>
    <t>Horrow Undermount</t>
  </si>
  <si>
    <t>ADU</t>
  </si>
  <si>
    <t>Nashville</t>
  </si>
  <si>
    <t>Powder</t>
  </si>
  <si>
    <t>Carpet</t>
  </si>
  <si>
    <t>Office</t>
  </si>
  <si>
    <t>Carra</t>
  </si>
  <si>
    <t>Primary</t>
  </si>
  <si>
    <t>concrete Tile</t>
  </si>
  <si>
    <t>Mop Sink</t>
  </si>
  <si>
    <t>Wand?</t>
  </si>
  <si>
    <t>Faucet</t>
  </si>
  <si>
    <t>Kohler Crue Touchless</t>
  </si>
  <si>
    <t>Arc Waterfall</t>
  </si>
  <si>
    <t>Labor Floor</t>
  </si>
  <si>
    <t>Labor Wall</t>
  </si>
  <si>
    <t>total</t>
  </si>
  <si>
    <t>Moen Wall Mount</t>
  </si>
  <si>
    <t>Garage</t>
  </si>
  <si>
    <t>Toilet</t>
  </si>
  <si>
    <t>Horrow Unique</t>
  </si>
  <si>
    <t>Shower Valve</t>
  </si>
  <si>
    <t>Granjoy</t>
  </si>
  <si>
    <t>Tub</t>
  </si>
  <si>
    <t>Tub Filler</t>
  </si>
  <si>
    <t>Drains</t>
  </si>
  <si>
    <t>Oatey 24" Linear</t>
  </si>
  <si>
    <t>Appliance site</t>
  </si>
  <si>
    <t>http://www.thermador.com/</t>
  </si>
  <si>
    <t>36" Refridge Column</t>
  </si>
  <si>
    <t>https://www.thermador.com/us/en/mkt-product/refrigeration/refrigerationrefrigerationcolumns/T36IR905SP</t>
  </si>
  <si>
    <t>36" Freezer Column</t>
  </si>
  <si>
    <t>https://www.thermador.com/us/en/mkt-product/refrigeration/freezer-columns/T36IF905SP</t>
  </si>
  <si>
    <t>Double Oven</t>
  </si>
  <si>
    <t>https://www.thermador.com/us/en/mkt-product/ovens/double-ovens/MEDMC301WS</t>
  </si>
  <si>
    <t>Dishwasher</t>
  </si>
  <si>
    <t>https://www.thermador.com/us/en/mkt-product/dishwashers/custom-panel/DWHD640EPR</t>
  </si>
  <si>
    <t>Hood</t>
  </si>
  <si>
    <t>https://futurofuturo.com/54-skylight-ceiling-soffit-range-hood/?gad_source=1&amp;gad_campaignid=22020168852&amp;gbraid=0AAAAAD_hDAqqlhc5Adnrl7h_avAB-_94G&amp;gclid=Cj0KCQjwxJvBBhDuARIsAGUgNfjVKi_F2Q8pLZHI8rJNJsrPAnkCamTcDZ1jcF-O4WFol61rn8Fug2caAnlzEALw_wcB</t>
  </si>
  <si>
    <t>Cooktop</t>
  </si>
  <si>
    <t>https://www.infinitysurfaces.it/invisible-induction-cooktop/</t>
  </si>
  <si>
    <t>Under Counter Fridge</t>
  </si>
  <si>
    <t>https://www.homedepot.com/p/TITTLA-24-in-Single-Zone-150-Can-Beverage-Refrigerator-in-Silver-with-2-Different-Door-Handles-Built-in-Beverage-Cooler-KMBR150/326580232</t>
  </si>
  <si>
    <t>Ice maker 400</t>
  </si>
  <si>
    <t>https://www.homedepot.com/p/TITTLA-14-in-100-lbs-Full-Size-Ice-Cubes-per-day-Ice-Maker-with-Blue-LEDs-Interior-in-Silver-Stainless-Steel-HY45FT/326504176</t>
  </si>
  <si>
    <t>Ice maker 900</t>
  </si>
  <si>
    <t>https://www.homedepot.com/p/COTLIN-15-in-22-lb-Built-In-Ice-Maker-in-Stainless-Steel-with-Reversible-Door-Crescent-Ice-IMC25BI/328501726</t>
  </si>
  <si>
    <t>Package</t>
  </si>
  <si>
    <t>https://www.homedepot.com/p/sets/Frigidaire-25-6-cu-ft-Standard-Depth-Refrigerator-with-5-Burner-Freestanding-Electric-Range-and-Dishwasher/335525148</t>
  </si>
  <si>
    <t>Stack</t>
  </si>
  <si>
    <t>recomend</t>
  </si>
  <si>
    <t xml:space="preserve">Laundry </t>
  </si>
  <si>
    <t xml:space="preserve">Washer </t>
  </si>
  <si>
    <t>What the fuck did I do with this shit man</t>
  </si>
  <si>
    <t>Calculated Load (A)</t>
  </si>
  <si>
    <t>Continuous Load x 125%</t>
  </si>
  <si>
    <t>Recommended Breaker</t>
  </si>
  <si>
    <t>Recommended Conductor (Cu)</t>
  </si>
  <si>
    <t>Recommended Conduit</t>
  </si>
  <si>
    <t>Amps</t>
  </si>
  <si>
    <t>Panel 1</t>
  </si>
  <si>
    <t>300 A</t>
  </si>
  <si>
    <t>350 kcmil x 3 conductors + #2 AWG Ground</t>
  </si>
  <si>
    <t>2.5" EMT (minimum)</t>
  </si>
  <si>
    <t>Panel 2</t>
  </si>
  <si>
    <t>Panel 3</t>
  </si>
  <si>
    <t>225 A</t>
  </si>
  <si>
    <t>4/0 AWG x 3 conductors + #4 AWG Ground</t>
  </si>
  <si>
    <t>2" EMT (minimum)</t>
  </si>
  <si>
    <t>Main Transformer</t>
  </si>
  <si>
    <t>800 A Main</t>
  </si>
  <si>
    <t>Parallel 500 kcmil x 4 per phase + 1/0 Ground</t>
  </si>
  <si>
    <t>Dual 3" EMT runs (per phase)</t>
  </si>
  <si>
    <t>**TOTAL PANEL 1 LOAD**</t>
  </si>
  <si>
    <t>Lighting Loads</t>
  </si>
  <si>
    <t>Load</t>
  </si>
  <si>
    <t>Feet/Location</t>
  </si>
  <si>
    <t>Watts</t>
  </si>
  <si>
    <t>Load A</t>
  </si>
  <si>
    <t>Transformer</t>
  </si>
  <si>
    <t>Breaker</t>
  </si>
  <si>
    <t>NCL A</t>
  </si>
  <si>
    <t>Circuit 1</t>
  </si>
  <si>
    <t>P1-EXT-1</t>
  </si>
  <si>
    <t>HDR-240-24 (10A)</t>
  </si>
  <si>
    <t>7A</t>
  </si>
  <si>
    <t>ShellY RGBWW Pro</t>
  </si>
  <si>
    <t>Dimmer</t>
  </si>
  <si>
    <t>Circuit 2</t>
  </si>
  <si>
    <t>P1-EXT-2</t>
  </si>
  <si>
    <t>HDR-480-24 (20A)</t>
  </si>
  <si>
    <t>15 A</t>
  </si>
  <si>
    <t>Circuit 3</t>
  </si>
  <si>
    <t>P1-EXT-3</t>
  </si>
  <si>
    <t>HDR-320-24 (13.3A)</t>
  </si>
  <si>
    <t>10A</t>
  </si>
  <si>
    <t>Circuit 4</t>
  </si>
  <si>
    <t>P1-EXT-4</t>
  </si>
  <si>
    <t>20 A</t>
  </si>
  <si>
    <t>Circuit 5</t>
  </si>
  <si>
    <t>P1-EXT-5</t>
  </si>
  <si>
    <t>Circuit 6</t>
  </si>
  <si>
    <t>P1-EXT-6</t>
  </si>
  <si>
    <t>Circuit 7</t>
  </si>
  <si>
    <t>P1-EXT-7</t>
  </si>
  <si>
    <t>Circuit 8</t>
  </si>
  <si>
    <t>P1-LVC-1</t>
  </si>
  <si>
    <t>Kitchen Cooktop</t>
  </si>
  <si>
    <t>P1-LVC-2</t>
  </si>
  <si>
    <t>Kitchen dish Sink</t>
  </si>
  <si>
    <t>HDR-150-24 (5A)</t>
  </si>
  <si>
    <t>Circuit 9</t>
  </si>
  <si>
    <t>P1-LVC-3</t>
  </si>
  <si>
    <t>Circuit 10</t>
  </si>
  <si>
    <t>P1-LVM-1</t>
  </si>
  <si>
    <t>Garge</t>
  </si>
  <si>
    <t>HDR-320-24 (20A)</t>
  </si>
  <si>
    <t>Shelly 1 PM</t>
  </si>
  <si>
    <t>P1-LVM-2</t>
  </si>
  <si>
    <t>Systems Garage</t>
  </si>
  <si>
    <t>Combined 24V-10</t>
  </si>
  <si>
    <t>P1-LVM-3</t>
  </si>
  <si>
    <t>Back Stair</t>
  </si>
  <si>
    <t>tx</t>
  </si>
  <si>
    <t>P1-LVM-4</t>
  </si>
  <si>
    <t>P1-LVM-5</t>
  </si>
  <si>
    <t>Storage</t>
  </si>
  <si>
    <t>P1-LVM-6</t>
  </si>
  <si>
    <t>Pantry</t>
  </si>
  <si>
    <t>P1-LVM-7</t>
  </si>
  <si>
    <t>Office Closet</t>
  </si>
  <si>
    <t>P1-LB-8</t>
  </si>
  <si>
    <t>Office Bath</t>
  </si>
  <si>
    <t>Shelly 2 PM Pro-1.1</t>
  </si>
  <si>
    <t>Circuit 11</t>
  </si>
  <si>
    <t>P1-L120-1</t>
  </si>
  <si>
    <t>P1-L120-2</t>
  </si>
  <si>
    <t>Island</t>
  </si>
  <si>
    <t>Combined 120V-11</t>
  </si>
  <si>
    <t>P1-L120-3</t>
  </si>
  <si>
    <t>Dining</t>
  </si>
  <si>
    <t>Wall Loads</t>
  </si>
  <si>
    <t>Circuit 12</t>
  </si>
  <si>
    <t>P1-120-1 (120V)</t>
  </si>
  <si>
    <t>120V Circuit</t>
  </si>
  <si>
    <t>40 A GFCI</t>
  </si>
  <si>
    <t>Shelly PM-4-1.1</t>
  </si>
  <si>
    <t>P1-120-2 (120V)</t>
  </si>
  <si>
    <t>Shelly PM-4-1.2</t>
  </si>
  <si>
    <t>P1-120-3 (120V)</t>
  </si>
  <si>
    <t>Shelly PM-4-1.3</t>
  </si>
  <si>
    <t>P1-120-4 (120V)</t>
  </si>
  <si>
    <t>Shelly PM-4-1.4</t>
  </si>
  <si>
    <t>P1-120-5 (120V)</t>
  </si>
  <si>
    <t>Shelly PM-4-2.1</t>
  </si>
  <si>
    <t>P1-120-6 (120V)</t>
  </si>
  <si>
    <t>Shelly PM-4-2.2</t>
  </si>
  <si>
    <t>P1-120-7 (120V)</t>
  </si>
  <si>
    <t>Shelly PM-4-2.3</t>
  </si>
  <si>
    <t>P1-120-8 (120V)</t>
  </si>
  <si>
    <t>Shelly PM-4-2.4</t>
  </si>
  <si>
    <t>P1-120-9 (120V)</t>
  </si>
  <si>
    <t>Circuit 13</t>
  </si>
  <si>
    <t>220-1 (220V)</t>
  </si>
  <si>
    <t>220V Circuit</t>
  </si>
  <si>
    <t>Shelly PM-4-3.1</t>
  </si>
  <si>
    <t>220-2 (220V)</t>
  </si>
  <si>
    <t>Shelly PM-4-3.2</t>
  </si>
  <si>
    <t>220-3 (220V)</t>
  </si>
  <si>
    <t>Shelly PM-4-3.3</t>
  </si>
  <si>
    <t>220-4 (220V)</t>
  </si>
  <si>
    <t>Shelly PM-4-3.4</t>
  </si>
  <si>
    <t>Circuit 14</t>
  </si>
  <si>
    <t>220-5 (220V)</t>
  </si>
  <si>
    <t>15A</t>
  </si>
  <si>
    <t>Circuit 15</t>
  </si>
  <si>
    <t>220-6 (220V)</t>
  </si>
  <si>
    <t>30 A</t>
  </si>
  <si>
    <t>Circuit 16</t>
  </si>
  <si>
    <t>220-7 (220V)</t>
  </si>
  <si>
    <t>40 A</t>
  </si>
  <si>
    <t>Blinds</t>
  </si>
  <si>
    <t>Lower West 1</t>
  </si>
  <si>
    <t>Shelly Dual Cover 1.1</t>
  </si>
  <si>
    <t>Lower West 2</t>
  </si>
  <si>
    <t>Combined 120V-3</t>
  </si>
  <si>
    <t>Shelly Dual Cover 1.2</t>
  </si>
  <si>
    <t>**TOTAL PANEL 2 LOAD**</t>
  </si>
  <si>
    <t>Continuous A</t>
  </si>
  <si>
    <t>P2-EXT1</t>
  </si>
  <si>
    <t>5A</t>
  </si>
  <si>
    <t>P2-EXT2</t>
  </si>
  <si>
    <t>8A</t>
  </si>
  <si>
    <t>P2-EXT3</t>
  </si>
  <si>
    <t>P2-EXT4</t>
  </si>
  <si>
    <t>P2-EXT5</t>
  </si>
  <si>
    <t>P2-LVC-1</t>
  </si>
  <si>
    <t>12A</t>
  </si>
  <si>
    <t>P2-LVC-2</t>
  </si>
  <si>
    <t>P2-LVC-3</t>
  </si>
  <si>
    <t>16 A</t>
  </si>
  <si>
    <t>P2-LVM-1</t>
  </si>
  <si>
    <t>P2-LVM-2</t>
  </si>
  <si>
    <t>Combined 24V-7</t>
  </si>
  <si>
    <t>P2-LVM-4</t>
  </si>
  <si>
    <t>P2-LVM-5</t>
  </si>
  <si>
    <t>P2-LVM-3</t>
  </si>
  <si>
    <t>Bath</t>
  </si>
  <si>
    <t>HDR-150-24</t>
  </si>
  <si>
    <t>P2-FL-120-1</t>
  </si>
  <si>
    <t>P2-F-120-1</t>
  </si>
  <si>
    <t>Shelly PM-1</t>
  </si>
  <si>
    <t>P2-FL-120-2</t>
  </si>
  <si>
    <t>P2-F-120-2</t>
  </si>
  <si>
    <t>P1-120-1</t>
  </si>
  <si>
    <t>P1-120-2</t>
  </si>
  <si>
    <t>P1-120-3</t>
  </si>
  <si>
    <t>P1-120-4</t>
  </si>
  <si>
    <t>P1-120-5</t>
  </si>
  <si>
    <t>P1-120-6</t>
  </si>
  <si>
    <t>40A</t>
  </si>
  <si>
    <t>Shelly PM-4 4.1</t>
  </si>
  <si>
    <t>Shelly PM-4 4.2</t>
  </si>
  <si>
    <t>Shelly PM-4 4.3</t>
  </si>
  <si>
    <t>Shelly PM-4 4.4</t>
  </si>
  <si>
    <t>30A</t>
  </si>
  <si>
    <t>Glass East</t>
  </si>
  <si>
    <t>West Glass 2-1</t>
  </si>
  <si>
    <t>West Glass 2-2</t>
  </si>
  <si>
    <t>Shelly Dual Cover 2.1</t>
  </si>
  <si>
    <t>**TOTAL PANEL 3 LOAD**</t>
  </si>
  <si>
    <t>24V</t>
  </si>
  <si>
    <t>Circuit</t>
  </si>
  <si>
    <t>Feet</t>
  </si>
  <si>
    <t>Recommended Transformer</t>
  </si>
  <si>
    <t>P3-EXT-1</t>
  </si>
  <si>
    <t>P3-EXT-2</t>
  </si>
  <si>
    <t>3.6 A</t>
  </si>
  <si>
    <t>P3-EXT-3</t>
  </si>
  <si>
    <t>10.7 A</t>
  </si>
  <si>
    <t>P3-EXT-4</t>
  </si>
  <si>
    <t>15.5 A</t>
  </si>
  <si>
    <t>P3-EXT-5</t>
  </si>
  <si>
    <t>9.5 A</t>
  </si>
  <si>
    <t>P3-LVC-1</t>
  </si>
  <si>
    <t>Living</t>
  </si>
  <si>
    <t>P3-LVC-2</t>
  </si>
  <si>
    <t>Shower</t>
  </si>
  <si>
    <t>P3-LVC-3</t>
  </si>
  <si>
    <t>P3-LVC-4</t>
  </si>
  <si>
    <t>P3-LVM-1</t>
  </si>
  <si>
    <t>Laundry</t>
  </si>
  <si>
    <t>P3-LVM-2</t>
  </si>
  <si>
    <t>P3-LVM-3</t>
  </si>
  <si>
    <t>WC-1</t>
  </si>
  <si>
    <t>P3-LVM-4</t>
  </si>
  <si>
    <t>WC-2</t>
  </si>
  <si>
    <t>P3-LVD-1</t>
  </si>
  <si>
    <t>P3-120-1</t>
  </si>
  <si>
    <t>Entry</t>
  </si>
  <si>
    <t>Shelly 2 PM Pro-1</t>
  </si>
  <si>
    <t>P3-120-2</t>
  </si>
  <si>
    <t>Foyer</t>
  </si>
  <si>
    <t>Combined 24V-11</t>
  </si>
  <si>
    <t>P3-120-3</t>
  </si>
  <si>
    <t>P3-Fl-1</t>
  </si>
  <si>
    <t>P3-F-1</t>
  </si>
  <si>
    <t>P3-Fl-2</t>
  </si>
  <si>
    <t>P3-F-2</t>
  </si>
  <si>
    <t>Shelly 2 PM Pro-1.2</t>
  </si>
  <si>
    <t>Shelly PM-3-3.1</t>
  </si>
  <si>
    <t>P2-120-1 (120V)</t>
  </si>
  <si>
    <t>Shelly PM-3-3.2</t>
  </si>
  <si>
    <t>P3-120-1 (120V)</t>
  </si>
  <si>
    <t>Shelly PM-3-3.3</t>
  </si>
  <si>
    <t>Shelly PM-3-3.4</t>
  </si>
  <si>
    <t>Shelly PM-2-2.1</t>
  </si>
  <si>
    <t>Shelly PM-2-2.2</t>
  </si>
  <si>
    <t>Entry 2</t>
  </si>
  <si>
    <t>West Glass Upper 1</t>
  </si>
  <si>
    <t>West Glass Upper 2</t>
  </si>
  <si>
    <t>Shelly Dual Cover 2.2</t>
  </si>
  <si>
    <t>Glass South</t>
  </si>
  <si>
    <t>Shelly Dual Cover 3.1</t>
  </si>
  <si>
    <t>**TOTAL PANEL 4 LOAD**</t>
  </si>
  <si>
    <t>P4-LVS-1</t>
  </si>
  <si>
    <t>10 A</t>
  </si>
  <si>
    <t>P4-LVS-2</t>
  </si>
  <si>
    <t>P4-LVS-3</t>
  </si>
  <si>
    <t>P4-LVC-1</t>
  </si>
  <si>
    <t>Overhead Cans</t>
  </si>
  <si>
    <t>P4-LVM-1</t>
  </si>
  <si>
    <t>HDR-150-24 (6.3A)</t>
  </si>
  <si>
    <t>P4-LVM-2</t>
  </si>
  <si>
    <t>Combined 24V-5</t>
  </si>
  <si>
    <t>P4-LVM-3</t>
  </si>
  <si>
    <t>Escape 1</t>
  </si>
  <si>
    <t>Combined 24V-6</t>
  </si>
  <si>
    <t>P4-LVM-4</t>
  </si>
  <si>
    <t>Escape 2</t>
  </si>
  <si>
    <t>P4-1</t>
  </si>
  <si>
    <t>P4-2</t>
  </si>
  <si>
    <t>Opening</t>
  </si>
  <si>
    <t>Width (in)</t>
  </si>
  <si>
    <t>Height (in)</t>
  </si>
  <si>
    <t>Tube Size</t>
  </si>
  <si>
    <t>Motor</t>
  </si>
  <si>
    <t>Torque (LF)</t>
  </si>
  <si>
    <t>Torque (BO)</t>
  </si>
  <si>
    <t>Motor Amps (A)</t>
  </si>
  <si>
    <t>Watts per Motor</t>
  </si>
  <si>
    <t>Roll Ø Sheer (in)</t>
  </si>
  <si>
    <t>Roll Ø Blackout (in)</t>
  </si>
  <si>
    <t>Recommended Pocket Depth (in)</t>
  </si>
  <si>
    <t>Control</t>
  </si>
  <si>
    <t>Fabric</t>
  </si>
  <si>
    <t>Cumulative Amps (A)</t>
  </si>
  <si>
    <t>Cumulative Watts</t>
  </si>
  <si>
    <t>Shelly Pro Dual Required</t>
  </si>
  <si>
    <t>Shelly Device Channel</t>
  </si>
  <si>
    <t>100 mm</t>
  </si>
  <si>
    <t>Somfy Sonesse 100 RS485</t>
  </si>
  <si>
    <t>≥ 15 Nm</t>
  </si>
  <si>
    <t>≥ 20 Nm</t>
  </si>
  <si>
    <t>120 VAC</t>
  </si>
  <si>
    <t>Somfy RS485 Bus → LAN/Homey</t>
  </si>
  <si>
    <t>Dual Roller Recommended</t>
  </si>
  <si>
    <t>15A (OK)</t>
  </si>
  <si>
    <t>Ch1</t>
  </si>
  <si>
    <t>Ch2</t>
  </si>
  <si>
    <t>West Glass 1</t>
  </si>
  <si>
    <t>Somfy Sonesse 100 RS485 Hi-Torque</t>
  </si>
  <si>
    <t>≥ 25 Nm</t>
  </si>
  <si>
    <t>≥ 35 Nm</t>
  </si>
  <si>
    <t>West Glass Lower 1</t>
  </si>
  <si>
    <t>West Glass Lower 2</t>
  </si>
  <si>
    <t>60 mm</t>
  </si>
  <si>
    <t>Somfy Sonesse 60 RS485</t>
  </si>
  <si>
    <t>≥ 6 Nm</t>
  </si>
  <si>
    <t>≥ 9 Nm</t>
  </si>
  <si>
    <t>Single Roller OK</t>
  </si>
  <si>
    <t>TOTAL</t>
  </si>
  <si>
    <t>11 Motors</t>
  </si>
  <si>
    <t>6 × Shelly Pro Dual (2 motors each)</t>
  </si>
  <si>
    <t>LAN/RS485 → Homey</t>
  </si>
  <si>
    <t>See grouping</t>
  </si>
  <si>
    <t>Total Devices Needed</t>
  </si>
  <si>
    <t>RAC Development</t>
  </si>
  <si>
    <t>Craig Engel RAC Inc.</t>
  </si>
  <si>
    <t>724 S. 1220 W. Hurricane UT</t>
  </si>
  <si>
    <t>Tammy Engel</t>
  </si>
  <si>
    <t>racinc19@gmail.com</t>
  </si>
  <si>
    <t>Permit # PREP 23-440</t>
  </si>
  <si>
    <t>1267 N 1390 W St. George UT</t>
  </si>
  <si>
    <t>435-229-7360</t>
  </si>
  <si>
    <t>racinc19billing@gmail.com</t>
  </si>
  <si>
    <t>Engineering</t>
  </si>
  <si>
    <t>435-229-4759</t>
  </si>
  <si>
    <t>Inspection</t>
  </si>
  <si>
    <t>Inspection Docs</t>
  </si>
  <si>
    <t>Selections</t>
  </si>
  <si>
    <t>Trade</t>
  </si>
  <si>
    <t>Progress</t>
  </si>
  <si>
    <t>Start</t>
  </si>
  <si>
    <t>Days</t>
  </si>
  <si>
    <t>Finish</t>
  </si>
  <si>
    <t>Delay</t>
  </si>
  <si>
    <t>Notes</t>
  </si>
  <si>
    <t>-Duration</t>
  </si>
  <si>
    <t>Pre Construction</t>
  </si>
  <si>
    <t>Construction Documents</t>
  </si>
  <si>
    <t>Selection File</t>
  </si>
  <si>
    <t>Schedule File</t>
  </si>
  <si>
    <t>Civial Engineering</t>
  </si>
  <si>
    <t>Structural Engineering</t>
  </si>
  <si>
    <t>Material Deposits</t>
  </si>
  <si>
    <t>Temp Power</t>
  </si>
  <si>
    <t>I Tech Electric</t>
  </si>
  <si>
    <t>Job Sign</t>
  </si>
  <si>
    <t>Site Prep</t>
  </si>
  <si>
    <t>Site Walls</t>
  </si>
  <si>
    <t>Dumpster</t>
  </si>
  <si>
    <t>Portable Toilet</t>
  </si>
  <si>
    <t>Temp Water</t>
  </si>
  <si>
    <t>Temp Electric Meter</t>
  </si>
  <si>
    <t>Foundation</t>
  </si>
  <si>
    <t>Strings</t>
  </si>
  <si>
    <t>RG QUALITY CONCRETE</t>
  </si>
  <si>
    <t>Footing Dig</t>
  </si>
  <si>
    <t>Place Pea Gravel</t>
  </si>
  <si>
    <t xml:space="preserve"> Footing Compaction Inspect</t>
  </si>
  <si>
    <t>Setting Forms</t>
  </si>
  <si>
    <t>Setting Rebar/Blockouts</t>
  </si>
  <si>
    <t>Underground Plumbing</t>
  </si>
  <si>
    <t>MASTER PLUMBING SYSTEMS</t>
  </si>
  <si>
    <t xml:space="preserve"> Plumbing Inspect</t>
  </si>
  <si>
    <t>Pour Footings</t>
  </si>
  <si>
    <t xml:space="preserve"> Shade and fill</t>
  </si>
  <si>
    <t xml:space="preserve"> Underground Electric</t>
  </si>
  <si>
    <t>Slab inspection</t>
  </si>
  <si>
    <t>Place Gravel/Int Footing</t>
  </si>
  <si>
    <t>Place &amp; tape Vapor</t>
  </si>
  <si>
    <t>Form Recess</t>
  </si>
  <si>
    <t xml:space="preserve"> Slab Pour</t>
  </si>
  <si>
    <t>Garage/Recess Pour</t>
  </si>
  <si>
    <t>Strip and Close and grade</t>
  </si>
  <si>
    <t>Structure</t>
  </si>
  <si>
    <t>Notify Verify Truss</t>
  </si>
  <si>
    <t>St. George Truss</t>
  </si>
  <si>
    <t>Deliver Wall Lumber</t>
  </si>
  <si>
    <t>Notify Gas  Utilities</t>
  </si>
  <si>
    <t>Wall Framing</t>
  </si>
  <si>
    <t>Deliver Truss/Roof Wood</t>
  </si>
  <si>
    <t>Roof Framing</t>
  </si>
  <si>
    <t>Deliver Punch Wood</t>
  </si>
  <si>
    <t>Framing Punch</t>
  </si>
  <si>
    <t>Deliver Drains &amp; Piping</t>
  </si>
  <si>
    <t>Roof Drains</t>
  </si>
  <si>
    <t>Electrical Main</t>
  </si>
  <si>
    <t>Gas Stub</t>
  </si>
  <si>
    <t>Dry in</t>
  </si>
  <si>
    <t>Roofing IWS</t>
  </si>
  <si>
    <t>Pierce Siding</t>
  </si>
  <si>
    <t>Deliver Exterior Doors</t>
  </si>
  <si>
    <t>Install Exterior Doors</t>
  </si>
  <si>
    <t>Estimate# 3561 MVE Lot 6.pdf</t>
  </si>
  <si>
    <t>Deliver Windows</t>
  </si>
  <si>
    <t>LP Building Solutions</t>
  </si>
  <si>
    <t>Install Exterior Glass</t>
  </si>
  <si>
    <t>Deliver/Install Entry Doors</t>
  </si>
  <si>
    <t>URBAN DOORS</t>
  </si>
  <si>
    <t>Rough/5Way</t>
  </si>
  <si>
    <t>Rough Mechanical</t>
  </si>
  <si>
    <t>KUHNS HEATING &amp; AIR</t>
  </si>
  <si>
    <t>Rough Plumbing/Gas/Roof Drains</t>
  </si>
  <si>
    <t>Rough Electrical</t>
  </si>
  <si>
    <t>Rough Gas</t>
  </si>
  <si>
    <t>5 Way</t>
  </si>
  <si>
    <t>Rough Punch</t>
  </si>
  <si>
    <t>Set Scaffold</t>
  </si>
  <si>
    <t>SIPCO/BSM</t>
  </si>
  <si>
    <t>Hang  Exterior Gyp</t>
  </si>
  <si>
    <t>H&amp;E DRYWALL</t>
  </si>
  <si>
    <t>Lath</t>
  </si>
  <si>
    <t>Lath Inspection</t>
  </si>
  <si>
    <t>Brown</t>
  </si>
  <si>
    <t>Color</t>
  </si>
  <si>
    <t>Gas Meter</t>
  </si>
  <si>
    <t>Exterior Stone</t>
  </si>
  <si>
    <t>Cladding Metal</t>
  </si>
  <si>
    <t>Broken Horn Welding</t>
  </si>
  <si>
    <t>Silicone</t>
  </si>
  <si>
    <t>Roofing Metal</t>
  </si>
  <si>
    <t>Dimple Mat</t>
  </si>
  <si>
    <t>Ballast</t>
  </si>
  <si>
    <t>Insulation Wall Substrate</t>
  </si>
  <si>
    <t xml:space="preserve"> Net &amp; Blow</t>
  </si>
  <si>
    <t>Insulation Inspection</t>
  </si>
  <si>
    <t>Install Trim</t>
  </si>
  <si>
    <t>Delivery Drywall</t>
  </si>
  <si>
    <t>Hang</t>
  </si>
  <si>
    <t>Blower Door</t>
  </si>
  <si>
    <t>Tape &amp; Texture</t>
  </si>
  <si>
    <t>Shelfing</t>
  </si>
  <si>
    <t>RED HILLS PAINTING</t>
  </si>
  <si>
    <t>Permanent Power</t>
  </si>
  <si>
    <t>Set HVAC</t>
  </si>
  <si>
    <t>Interior Floor/Tile/Carpentry</t>
  </si>
  <si>
    <t>Deliver Tile</t>
  </si>
  <si>
    <t>Tile Floor</t>
  </si>
  <si>
    <t>Paint Trim</t>
  </si>
  <si>
    <t>Cabinets/Laminate</t>
  </si>
  <si>
    <t>BOARDWALK CABINETRY</t>
  </si>
  <si>
    <t>Template</t>
  </si>
  <si>
    <t>COUNTERTOP SOURCE</t>
  </si>
  <si>
    <t>Shower Surrounds</t>
  </si>
  <si>
    <t>Set Fireplace</t>
  </si>
  <si>
    <t>Measure Glass</t>
  </si>
  <si>
    <t>Hardscape/Landscape</t>
  </si>
  <si>
    <t>Rough Grade</t>
  </si>
  <si>
    <t>Drains &amp; Sleeves</t>
  </si>
  <si>
    <t>Hardscape</t>
  </si>
  <si>
    <t>Landscape/Fountains</t>
  </si>
  <si>
    <t>Signs</t>
  </si>
  <si>
    <t>Sewer</t>
  </si>
  <si>
    <t>BackFlow</t>
  </si>
  <si>
    <t>Home Stretch</t>
  </si>
  <si>
    <t>Deliver Electrical Fixtures</t>
  </si>
  <si>
    <t>Electrical Trim</t>
  </si>
  <si>
    <t>Deliver Plumbing Fixtures</t>
  </si>
  <si>
    <t>Plumbing Trim</t>
  </si>
  <si>
    <t>Install Salt Brick</t>
  </si>
  <si>
    <t>Install Acrylic</t>
  </si>
  <si>
    <t>Install Stretch</t>
  </si>
  <si>
    <t>Install Wall Panels</t>
  </si>
  <si>
    <t>Install Mirror</t>
  </si>
  <si>
    <t>Final Clean</t>
  </si>
  <si>
    <t>CO</t>
  </si>
  <si>
    <t>Punch Walk</t>
  </si>
  <si>
    <t>Punch Completion</t>
  </si>
  <si>
    <t>Date</t>
  </si>
  <si>
    <t>Draw 1</t>
  </si>
  <si>
    <t>Draw 2</t>
  </si>
  <si>
    <t>Draw 3</t>
  </si>
  <si>
    <t>Draw 4</t>
  </si>
  <si>
    <t>Draw 5</t>
  </si>
  <si>
    <t>Draw 6</t>
  </si>
  <si>
    <t>Draw 7</t>
  </si>
  <si>
    <t>Draw 8</t>
  </si>
  <si>
    <t>Draw 9</t>
  </si>
  <si>
    <t>Draw 10</t>
  </si>
  <si>
    <t>Draw 11</t>
  </si>
  <si>
    <t>Draw 12</t>
  </si>
  <si>
    <t>Draw 13</t>
  </si>
  <si>
    <t>Draw 14</t>
  </si>
  <si>
    <t>Draw 15</t>
  </si>
  <si>
    <t>Draw 16</t>
  </si>
  <si>
    <t>Draw 17</t>
  </si>
  <si>
    <t>Outstanding</t>
  </si>
  <si>
    <t>Sub</t>
  </si>
  <si>
    <t>Bid Amount</t>
  </si>
  <si>
    <t>Comment</t>
  </si>
  <si>
    <t>Lot 34</t>
  </si>
  <si>
    <t xml:space="preserve">Sq Ft </t>
  </si>
  <si>
    <t>Cost per Ft.</t>
  </si>
  <si>
    <t xml:space="preserve">LTV </t>
  </si>
  <si>
    <t>Gross</t>
  </si>
  <si>
    <t>Realtor</t>
  </si>
  <si>
    <t>Land</t>
  </si>
  <si>
    <t>Build Cost</t>
  </si>
  <si>
    <t>Interest</t>
  </si>
  <si>
    <t>Origination</t>
  </si>
  <si>
    <t>City of Hurricane</t>
  </si>
  <si>
    <t>Builder Risk</t>
  </si>
  <si>
    <t>Legal</t>
  </si>
  <si>
    <t>WCD</t>
  </si>
  <si>
    <t>Recorder</t>
  </si>
  <si>
    <t>Landmark</t>
  </si>
  <si>
    <t>SWPPP</t>
  </si>
  <si>
    <t>Pad Prep</t>
  </si>
  <si>
    <t>Dixie, Ceasar, Sunset</t>
  </si>
  <si>
    <t>Morgan Pest Control</t>
  </si>
  <si>
    <t>BW, 5 DI, Bud</t>
  </si>
  <si>
    <t>SGT Truss</t>
  </si>
  <si>
    <t>Bringhurst, Master</t>
  </si>
  <si>
    <t>Water Heater</t>
  </si>
  <si>
    <t>Water Filtration</t>
  </si>
  <si>
    <t>Advanced</t>
  </si>
  <si>
    <t>HVAC</t>
  </si>
  <si>
    <t>Kuhn's/Crofts</t>
  </si>
  <si>
    <t>Dixie</t>
  </si>
  <si>
    <t>DHE.Copper.Breck</t>
  </si>
  <si>
    <t>Pierce</t>
  </si>
  <si>
    <t>Entry Door</t>
  </si>
  <si>
    <t>Rainscreen</t>
  </si>
  <si>
    <t>D&amp;D</t>
  </si>
  <si>
    <t>Stone Veneer</t>
  </si>
  <si>
    <t>Kent</t>
  </si>
  <si>
    <t>Shadow Trim</t>
  </si>
  <si>
    <t>Potter</t>
  </si>
  <si>
    <t>Floor Polish</t>
  </si>
  <si>
    <t>KC</t>
  </si>
  <si>
    <t>Floor Protection</t>
  </si>
  <si>
    <t>Jesco</t>
  </si>
  <si>
    <t>Boardwalk</t>
  </si>
  <si>
    <t>Interior Door</t>
  </si>
  <si>
    <t>Interior trim material</t>
  </si>
  <si>
    <t>Desert</t>
  </si>
  <si>
    <t>Painted Glass</t>
  </si>
  <si>
    <t>Stretch</t>
  </si>
  <si>
    <t>RAC/H&amp;E</t>
  </si>
  <si>
    <t>Alabaser</t>
  </si>
  <si>
    <t>RAC/Desert</t>
  </si>
  <si>
    <t>Salt</t>
  </si>
  <si>
    <t>RAC/Quick</t>
  </si>
  <si>
    <t>Laura</t>
  </si>
  <si>
    <t>Ferguson's</t>
  </si>
  <si>
    <t>Exterior concrete</t>
  </si>
  <si>
    <t>Bruce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</si>
</sst>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00;(#,##0.00)"/>
    <numFmt numFmtId="165" formatCode="_(&quot;$&quot;* #,##0.00_);_(&quot;$&quot;* \(#,##0.00\);_(&quot;$&quot;* &quot;-&quot;??_);_(@_)"/>
    <numFmt numFmtId="166" formatCode="&quot;$&quot;#,##0.00"/>
    <numFmt numFmtId="167" formatCode="M/d/yyyy"/>
    <numFmt numFmtId="168" formatCode="m/d/yyyy"/>
    <numFmt numFmtId="169" formatCode="m/d/yy"/>
    <numFmt numFmtId="170" formatCode="MM/dd/yyyy HH:MMam/pm"/>
    <numFmt numFmtId="171" formatCode="mm/dd/yy"/>
    <numFmt numFmtId="172" formatCode="m/d"/>
    <numFmt numFmtId="173" formatCode="mmmm d"/>
  </numFmts>
  <fonts count="28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sz val="11.0"/>
      <color rgb="FF222222"/>
      <name val="Google Sans"/>
    </font>
    <font>
      <color rgb="FF222222"/>
      <name val="Arial"/>
    </font>
    <font>
      <color rgb="FF222222"/>
      <name val="Google Sans"/>
    </font>
    <font>
      <sz val="11.0"/>
      <color rgb="FF5E5E5E"/>
      <name val="Google Sans"/>
    </font>
    <font>
      <color rgb="FF5E5E5E"/>
      <name val="Google Sans"/>
    </font>
    <font>
      <sz val="9.0"/>
      <color rgb="FF5E5E5E"/>
      <name val="Google Sans"/>
    </font>
    <font>
      <sz val="11.0"/>
      <color rgb="FF1F1F1F"/>
      <name val="Google Sans"/>
    </font>
    <font>
      <color rgb="FF000000"/>
      <name val="Arial"/>
    </font>
    <font>
      <b/>
      <i/>
      <color theme="1"/>
      <name val="Arial"/>
    </font>
    <font>
      <b/>
      <color rgb="FF000000"/>
      <name val="Arial"/>
    </font>
    <font>
      <u/>
      <color rgb="FF1155CC"/>
      <name val="Arial"/>
    </font>
    <font>
      <u/>
      <color rgb="FF0000FF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theme="1"/>
      <name val="Arial"/>
    </font>
    <font>
      <u/>
      <color theme="1"/>
      <name val="Arial"/>
    </font>
    <font>
      <b/>
      <sz val="11.0"/>
      <color theme="1"/>
      <name val="Calibri"/>
    </font>
    <font>
      <b/>
      <sz val="12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3C78D8"/>
        <bgColor rgb="FF3C78D8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1" numFmtId="0" xfId="0" applyFont="1"/>
    <xf borderId="0" fillId="3" fontId="1" numFmtId="0" xfId="0" applyFill="1" applyFont="1"/>
    <xf borderId="0" fillId="2" fontId="3" numFmtId="0" xfId="0" applyFont="1"/>
    <xf borderId="0" fillId="2" fontId="4" numFmtId="0" xfId="0" applyFont="1"/>
    <xf borderId="0" fillId="2" fontId="5" numFmtId="0" xfId="0" applyFont="1"/>
    <xf borderId="0" fillId="2" fontId="6" numFmtId="0" xfId="0" applyFont="1"/>
    <xf borderId="0" fillId="3" fontId="7" numFmtId="0" xfId="0" applyAlignment="1" applyFont="1">
      <alignment shrinkToFit="0" vertical="top" wrapText="0"/>
    </xf>
    <xf borderId="0" fillId="3" fontId="8" numFmtId="0" xfId="0" applyAlignment="1" applyFont="1">
      <alignment shrinkToFit="0" wrapText="0"/>
    </xf>
    <xf borderId="0" fillId="4" fontId="1" numFmtId="0" xfId="0" applyFill="1" applyFont="1"/>
    <xf borderId="0" fillId="2" fontId="7" numFmtId="0" xfId="0" applyAlignment="1" applyFont="1">
      <alignment shrinkToFit="0" vertical="top" wrapText="0"/>
    </xf>
    <xf borderId="0" fillId="2" fontId="9" numFmtId="0" xfId="0" applyAlignment="1" applyFont="1">
      <alignment horizontal="left" shrinkToFit="0" wrapText="0"/>
    </xf>
    <xf borderId="0" fillId="3" fontId="10" numFmtId="0" xfId="0" applyFont="1"/>
    <xf borderId="0" fillId="3" fontId="3" numFmtId="0" xfId="0" applyFont="1"/>
    <xf borderId="0" fillId="2" fontId="10" numFmtId="0" xfId="0" applyFont="1"/>
    <xf borderId="0" fillId="2" fontId="1" numFmtId="164" xfId="0" applyAlignment="1" applyFont="1" applyNumberFormat="1">
      <alignment vertical="bottom"/>
    </xf>
    <xf borderId="0" fillId="0" fontId="1" numFmtId="165" xfId="0" applyFont="1" applyNumberFormat="1"/>
    <xf borderId="0" fillId="0" fontId="1" numFmtId="166" xfId="0" applyFont="1" applyNumberFormat="1"/>
    <xf borderId="0" fillId="0" fontId="1" numFmtId="9" xfId="0" applyFont="1" applyNumberFormat="1"/>
    <xf borderId="0" fillId="0" fontId="11" numFmtId="166" xfId="0" applyFont="1" applyNumberFormat="1"/>
    <xf borderId="0" fillId="0" fontId="11" numFmtId="0" xfId="0" applyFont="1"/>
    <xf borderId="0" fillId="2" fontId="11" numFmtId="165" xfId="0" applyFont="1" applyNumberFormat="1"/>
    <xf borderId="0" fillId="0" fontId="1" numFmtId="10" xfId="0" applyFont="1" applyNumberFormat="1"/>
    <xf borderId="0" fillId="2" fontId="2" numFmtId="165" xfId="0" applyFont="1" applyNumberFormat="1"/>
    <xf borderId="0" fillId="2" fontId="2" numFmtId="4" xfId="0" applyFont="1" applyNumberFormat="1"/>
    <xf borderId="0" fillId="2" fontId="2" numFmtId="167" xfId="0" applyFont="1" applyNumberFormat="1"/>
    <xf borderId="0" fillId="2" fontId="1" numFmtId="166" xfId="0" applyFont="1" applyNumberFormat="1"/>
    <xf borderId="0" fillId="0" fontId="1" numFmtId="168" xfId="0" applyFont="1" applyNumberFormat="1"/>
    <xf borderId="0" fillId="0" fontId="1" numFmtId="4" xfId="0" applyFont="1" applyNumberFormat="1"/>
    <xf borderId="0" fillId="2" fontId="2" numFmtId="166" xfId="0" applyFont="1" applyNumberFormat="1"/>
    <xf borderId="0" fillId="5" fontId="1" numFmtId="0" xfId="0" applyAlignment="1" applyFill="1" applyFont="1">
      <alignment vertical="bottom"/>
    </xf>
    <xf borderId="0" fillId="0" fontId="1" numFmtId="169" xfId="0" applyFont="1" applyNumberFormat="1"/>
    <xf borderId="0" fillId="6" fontId="1" numFmtId="0" xfId="0" applyAlignment="1" applyFill="1" applyFont="1">
      <alignment vertical="bottom"/>
    </xf>
    <xf borderId="0" fillId="7" fontId="1" numFmtId="0" xfId="0" applyAlignment="1" applyFill="1" applyFont="1">
      <alignment vertical="bottom"/>
    </xf>
    <xf borderId="0" fillId="2" fontId="2" numFmtId="164" xfId="0" applyAlignment="1" applyFont="1" applyNumberFormat="1">
      <alignment vertical="bottom"/>
    </xf>
    <xf borderId="0" fillId="8" fontId="10" numFmtId="0" xfId="0" applyAlignment="1" applyFill="1" applyFont="1">
      <alignment vertical="bottom"/>
    </xf>
    <xf borderId="0" fillId="8" fontId="1" numFmtId="164" xfId="0" applyAlignment="1" applyFont="1" applyNumberFormat="1">
      <alignment vertical="bottom"/>
    </xf>
    <xf borderId="0" fillId="8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166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ont="1">
      <alignment vertical="bottom"/>
    </xf>
    <xf borderId="0" fillId="2" fontId="1" numFmtId="165" xfId="0" applyFont="1" applyNumberFormat="1"/>
    <xf borderId="0" fillId="9" fontId="1" numFmtId="166" xfId="0" applyFill="1" applyFont="1" applyNumberFormat="1"/>
    <xf borderId="0" fillId="3" fontId="2" numFmtId="164" xfId="0" applyAlignment="1" applyFont="1" applyNumberFormat="1">
      <alignment vertical="bottom"/>
    </xf>
    <xf borderId="0" fillId="3" fontId="1" numFmtId="166" xfId="0" applyFont="1" applyNumberFormat="1"/>
    <xf borderId="0" fillId="10" fontId="1" numFmtId="0" xfId="0" applyAlignment="1" applyFill="1" applyFont="1">
      <alignment vertical="bottom"/>
    </xf>
    <xf borderId="0" fillId="11" fontId="1" numFmtId="166" xfId="0" applyFill="1" applyFont="1" applyNumberFormat="1"/>
    <xf borderId="0" fillId="2" fontId="1" numFmtId="169" xfId="0" applyFont="1" applyNumberFormat="1"/>
    <xf borderId="0" fillId="3" fontId="1" numFmtId="164" xfId="0" applyAlignment="1" applyFont="1" applyNumberFormat="1">
      <alignment vertical="bottom"/>
    </xf>
    <xf borderId="0" fillId="4" fontId="1" numFmtId="166" xfId="0" applyFont="1" applyNumberFormat="1"/>
    <xf borderId="0" fillId="4" fontId="1" numFmtId="164" xfId="0" applyAlignment="1" applyFont="1" applyNumberFormat="1">
      <alignment vertical="bottom"/>
    </xf>
    <xf borderId="0" fillId="2" fontId="2" numFmtId="166" xfId="0" applyAlignment="1" applyFont="1" applyNumberFormat="1">
      <alignment vertical="bottom"/>
    </xf>
    <xf borderId="0" fillId="12" fontId="1" numFmtId="164" xfId="0" applyAlignment="1" applyFill="1" applyFont="1" applyNumberFormat="1">
      <alignment vertical="bottom"/>
    </xf>
    <xf borderId="0" fillId="2" fontId="12" numFmtId="0" xfId="0" applyFont="1"/>
    <xf borderId="0" fillId="2" fontId="1" numFmtId="0" xfId="0" applyAlignment="1" applyFont="1">
      <alignment horizontal="right" vertical="bottom"/>
    </xf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Font="1"/>
    <xf borderId="1" fillId="0" fontId="15" numFmtId="0" xfId="0" applyAlignment="1" applyBorder="1" applyFont="1">
      <alignment horizontal="left" readingOrder="0" shrinkToFit="0" vertical="top" wrapText="0"/>
    </xf>
    <xf borderId="1" fillId="0" fontId="15" numFmtId="0" xfId="0" applyAlignment="1" applyBorder="1" applyFont="1">
      <alignment horizontal="left" shrinkToFit="0" vertical="top" wrapText="0"/>
    </xf>
    <xf borderId="0" fillId="0" fontId="16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/>
    </xf>
    <xf borderId="0" fillId="0" fontId="17" numFmtId="0" xfId="0" applyAlignment="1" applyFont="1">
      <alignment horizontal="left" shrinkToFit="0" vertical="bottom" wrapText="0"/>
    </xf>
    <xf borderId="0" fillId="0" fontId="18" numFmtId="0" xfId="0" applyAlignment="1" applyFont="1">
      <alignment horizontal="left" shrinkToFit="0" vertical="bottom" wrapText="0"/>
    </xf>
    <xf borderId="0" fillId="3" fontId="19" numFmtId="0" xfId="0" applyAlignment="1" applyFont="1">
      <alignment horizontal="left" shrinkToFit="0" vertical="bottom" wrapText="0"/>
    </xf>
    <xf borderId="0" fillId="3" fontId="20" numFmtId="0" xfId="0" applyAlignment="1" applyFont="1">
      <alignment horizontal="left" shrinkToFit="0" vertical="bottom" wrapText="0"/>
    </xf>
    <xf borderId="0" fillId="3" fontId="2" numFmtId="0" xfId="0" applyAlignment="1" applyFont="1">
      <alignment horizontal="left"/>
    </xf>
    <xf borderId="0" fillId="3" fontId="1" numFmtId="0" xfId="0" applyAlignment="1" applyFont="1">
      <alignment horizontal="left"/>
    </xf>
    <xf borderId="0" fillId="0" fontId="12" numFmtId="4" xfId="0" applyAlignment="1" applyFont="1" applyNumberFormat="1">
      <alignment horizontal="left"/>
    </xf>
    <xf borderId="0" fillId="0" fontId="1" numFmtId="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3" fontId="18" numFmtId="0" xfId="0" applyAlignment="1" applyFont="1">
      <alignment horizontal="left" shrinkToFit="0" vertical="bottom" wrapText="0"/>
    </xf>
    <xf borderId="0" fillId="3" fontId="1" numFmtId="4" xfId="0" applyAlignment="1" applyFont="1" applyNumberFormat="1">
      <alignment horizontal="left"/>
    </xf>
    <xf borderId="0" fillId="0" fontId="17" numFmtId="0" xfId="0" applyAlignment="1" applyFont="1">
      <alignment shrinkToFit="0" vertical="bottom" wrapText="0"/>
    </xf>
    <xf borderId="0" fillId="0" fontId="16" numFmtId="0" xfId="0" applyAlignment="1" applyFont="1">
      <alignment horizontal="right" shrinkToFit="0" vertical="bottom" wrapText="0"/>
    </xf>
    <xf borderId="0" fillId="11" fontId="1" numFmtId="0" xfId="0" applyAlignment="1" applyFont="1">
      <alignment horizontal="left"/>
    </xf>
    <xf borderId="0" fillId="11" fontId="16" numFmtId="0" xfId="0" applyAlignment="1" applyFont="1">
      <alignment horizontal="right" shrinkToFit="0" vertical="bottom" wrapText="0"/>
    </xf>
    <xf borderId="0" fillId="11" fontId="1" numFmtId="4" xfId="0" applyAlignment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0" fontId="16" numFmtId="0" xfId="0" applyAlignment="1" applyFont="1">
      <alignment shrinkToFit="0" vertical="bottom" wrapText="0"/>
    </xf>
    <xf borderId="0" fillId="0" fontId="1" numFmtId="0" xfId="0" applyAlignment="1" applyFont="1">
      <alignment horizontal="left" vertical="bottom"/>
    </xf>
    <xf borderId="0" fillId="3" fontId="17" numFmtId="0" xfId="0" applyAlignment="1" applyFont="1">
      <alignment horizontal="left" shrinkToFit="0" vertical="bottom" wrapText="0"/>
    </xf>
    <xf borderId="0" fillId="0" fontId="21" numFmtId="0" xfId="0" applyAlignment="1" applyFont="1">
      <alignment horizontal="left" vertical="bottom"/>
    </xf>
    <xf borderId="0" fillId="11" fontId="17" numFmtId="0" xfId="0" applyAlignment="1" applyFont="1">
      <alignment horizontal="left" shrinkToFit="0" vertical="bottom" wrapText="0"/>
    </xf>
    <xf borderId="0" fillId="11" fontId="18" numFmtId="0" xfId="0" applyAlignment="1" applyFont="1">
      <alignment horizontal="left" shrinkToFit="0" vertical="bottom" wrapText="0"/>
    </xf>
    <xf borderId="0" fillId="11" fontId="16" numFmtId="0" xfId="0" applyAlignment="1" applyFont="1">
      <alignment horizontal="left" shrinkToFit="0" vertical="bottom" wrapText="0"/>
    </xf>
    <xf borderId="0" fillId="11" fontId="1" numFmtId="0" xfId="0" applyFont="1"/>
    <xf borderId="0" fillId="0" fontId="16" numFmtId="4" xfId="0" applyAlignment="1" applyFont="1" applyNumberFormat="1">
      <alignment horizontal="left" shrinkToFit="0" vertical="bottom" wrapText="0"/>
    </xf>
    <xf borderId="1" fillId="0" fontId="15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vertical="bottom"/>
    </xf>
    <xf borderId="0" fillId="0" fontId="1" numFmtId="167" xfId="0" applyAlignment="1" applyFont="1" applyNumberFormat="1">
      <alignment vertical="bottom"/>
    </xf>
    <xf borderId="0" fillId="0" fontId="1" numFmtId="170" xfId="0" applyAlignment="1" applyFont="1" applyNumberFormat="1">
      <alignment vertical="bottom"/>
    </xf>
    <xf borderId="0" fillId="0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1" numFmtId="167" xfId="0" applyFont="1" applyNumberFormat="1"/>
    <xf borderId="0" fillId="0" fontId="2" numFmtId="10" xfId="0" applyAlignment="1" applyFont="1" applyNumberFormat="1">
      <alignment vertical="bottom"/>
    </xf>
    <xf borderId="0" fillId="0" fontId="2" numFmtId="167" xfId="0" applyAlignment="1" applyFont="1" applyNumberFormat="1">
      <alignment vertical="bottom"/>
    </xf>
    <xf borderId="0" fillId="0" fontId="24" numFmtId="10" xfId="0" applyAlignment="1" applyFont="1" applyNumberFormat="1">
      <alignment horizontal="right" vertical="bottom"/>
    </xf>
    <xf borderId="0" fillId="0" fontId="1" numFmtId="171" xfId="0" applyAlignment="1" applyFont="1" applyNumberFormat="1">
      <alignment vertical="bottom"/>
    </xf>
    <xf borderId="0" fillId="0" fontId="24" numFmtId="167" xfId="0" applyAlignment="1" applyFont="1" applyNumberFormat="1">
      <alignment horizontal="right" vertical="bottom"/>
    </xf>
    <xf borderId="0" fillId="0" fontId="24" numFmtId="0" xfId="0" applyAlignment="1" applyFont="1">
      <alignment horizontal="right" vertical="bottom"/>
    </xf>
    <xf borderId="0" fillId="2" fontId="24" numFmtId="167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167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2" fontId="1" numFmtId="167" xfId="0" applyFont="1" applyNumberFormat="1"/>
    <xf borderId="0" fillId="2" fontId="1" numFmtId="0" xfId="0" applyAlignment="1" applyFont="1">
      <alignment horizontal="left"/>
    </xf>
    <xf borderId="0" fillId="2" fontId="1" numFmtId="172" xfId="0" applyAlignment="1" applyFont="1" applyNumberFormat="1">
      <alignment horizontal="left"/>
    </xf>
    <xf borderId="0" fillId="2" fontId="1" numFmtId="173" xfId="0" applyAlignment="1" applyFont="1" applyNumberFormat="1">
      <alignment horizontal="left"/>
    </xf>
    <xf borderId="0" fillId="2" fontId="2" numFmtId="49" xfId="0" applyAlignment="1" applyFont="1" applyNumberFormat="1">
      <alignment vertical="bottom"/>
    </xf>
    <xf borderId="0" fillId="0" fontId="1" numFmtId="166" xfId="0" applyAlignment="1" applyFont="1" applyNumberFormat="1">
      <alignment horizontal="center"/>
    </xf>
    <xf borderId="0" fillId="2" fontId="2" numFmtId="0" xfId="0" applyFont="1"/>
    <xf borderId="0" fillId="2" fontId="11" numFmtId="164" xfId="0" applyAlignment="1" applyFont="1" applyNumberFormat="1">
      <alignment vertical="bottom"/>
    </xf>
    <xf borderId="0" fillId="2" fontId="2" numFmtId="166" xfId="0" applyAlignment="1" applyFont="1" applyNumberFormat="1">
      <alignment horizontal="center"/>
    </xf>
    <xf borderId="0" fillId="2" fontId="25" numFmtId="166" xfId="0" applyAlignment="1" applyFont="1" applyNumberFormat="1">
      <alignment horizontal="center"/>
    </xf>
    <xf borderId="0" fillId="2" fontId="11" numFmtId="164" xfId="0" applyFont="1" applyNumberFormat="1"/>
    <xf borderId="0" fillId="2" fontId="1" numFmtId="166" xfId="0" applyAlignment="1" applyFont="1" applyNumberFormat="1">
      <alignment horizontal="center"/>
    </xf>
    <xf borderId="0" fillId="2" fontId="26" numFmtId="166" xfId="0" applyAlignment="1" applyFont="1" applyNumberFormat="1">
      <alignment horizontal="center"/>
    </xf>
    <xf borderId="0" fillId="2" fontId="1" numFmtId="49" xfId="0" applyAlignment="1" applyFont="1" applyNumberFormat="1">
      <alignment vertical="bottom"/>
    </xf>
    <xf borderId="0" fillId="2" fontId="11" numFmtId="0" xfId="0" applyFont="1"/>
    <xf borderId="0" fillId="2" fontId="11" numFmtId="166" xfId="0" applyFont="1" applyNumberFormat="1"/>
    <xf borderId="0" fillId="2" fontId="11" numFmtId="166" xfId="0" applyAlignment="1" applyFont="1" applyNumberFormat="1">
      <alignment horizontal="center"/>
    </xf>
    <xf borderId="0" fillId="2" fontId="1" numFmtId="0" xfId="0" applyAlignment="1" applyFont="1">
      <alignment horizontal="center"/>
    </xf>
    <xf borderId="0" fillId="2" fontId="1" numFmtId="166" xfId="0" applyAlignment="1" applyFont="1" applyNumberFormat="1">
      <alignment horizontal="center" vertical="bottom"/>
    </xf>
    <xf borderId="0" fillId="2" fontId="1" numFmtId="166" xfId="0" applyAlignment="1" applyFont="1" applyNumberFormat="1">
      <alignment horizontal="right" vertical="bottom"/>
    </xf>
    <xf borderId="0" fillId="2" fontId="27" numFmtId="166" xfId="0" applyAlignment="1" applyFont="1" applyNumberFormat="1">
      <alignment horizontal="center"/>
    </xf>
    <xf borderId="0" fillId="0" fontId="11" numFmtId="16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2" fontId="1" numFmtId="10" xfId="0" applyAlignment="1" applyFont="1" applyNumberFormat="1">
      <alignment vertical="bottom"/>
    </xf>
    <xf borderId="0" fillId="2" fontId="1" numFmtId="9" xfId="0" applyAlignment="1" applyFont="1" applyNumberFormat="1">
      <alignment vertical="bottom"/>
    </xf>
    <xf borderId="0" fillId="2" fontId="1" numFmtId="9" xfId="0" applyFont="1" applyNumberFormat="1"/>
    <xf borderId="0" fillId="5" fontId="1" numFmtId="164" xfId="0" applyAlignment="1" applyFont="1" applyNumberFormat="1">
      <alignment vertical="bottom"/>
    </xf>
    <xf borderId="0" fillId="7" fontId="10" numFmtId="0" xfId="0" applyAlignment="1" applyFont="1">
      <alignment vertical="bottom"/>
    </xf>
    <xf borderId="0" fillId="13" fontId="1" numFmtId="0" xfId="0" applyAlignment="1" applyFill="1" applyFont="1">
      <alignment vertical="bottom"/>
    </xf>
    <xf borderId="0" fillId="14" fontId="10" numFmtId="0" xfId="0" applyAlignment="1" applyFill="1" applyFont="1">
      <alignment vertical="bottom"/>
    </xf>
    <xf borderId="0" fillId="14" fontId="1" numFmtId="0" xfId="0" applyAlignment="1" applyFont="1">
      <alignment vertical="bottom"/>
    </xf>
    <xf borderId="0" fillId="15" fontId="1" numFmtId="0" xfId="0" applyAlignment="1" applyFill="1" applyFont="1">
      <alignment vertical="bottom"/>
    </xf>
    <xf borderId="0" fillId="15" fontId="1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thermador.com/" TargetMode="External"/><Relationship Id="rId2" Type="http://schemas.openxmlformats.org/officeDocument/2006/relationships/hyperlink" Target="https://www.thermador.com/us/en/mkt-product/refrigeration/refrigerationrefrigerationcolumns/T36IR905SP" TargetMode="External"/><Relationship Id="rId3" Type="http://schemas.openxmlformats.org/officeDocument/2006/relationships/hyperlink" Target="https://www.thermador.com/us/en/mkt-product/refrigeration/freezer-columns/T36IF905SP" TargetMode="External"/><Relationship Id="rId4" Type="http://schemas.openxmlformats.org/officeDocument/2006/relationships/hyperlink" Target="https://www.thermador.com/us/en/mkt-product/ovens/double-ovens/MEDMC301WS" TargetMode="External"/><Relationship Id="rId11" Type="http://schemas.openxmlformats.org/officeDocument/2006/relationships/hyperlink" Target="https://www.homedepot.com/p/sets/Frigidaire-25-6-cu-ft-Standard-Depth-Refrigerator-with-5-Burner-Freestanding-Electric-Range-and-Dishwasher/335525148" TargetMode="External"/><Relationship Id="rId10" Type="http://schemas.openxmlformats.org/officeDocument/2006/relationships/hyperlink" Target="https://www.homedepot.com/p/COTLIN-15-in-22-lb-Built-In-Ice-Maker-in-Stainless-Steel-with-Reversible-Door-Crescent-Ice-IMC25BI/328501726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www.homedepot.com/p/TITTLA-14-in-100-lbs-Full-Size-Ice-Cubes-per-day-Ice-Maker-with-Blue-LEDs-Interior-in-Silver-Stainless-Steel-HY45FT/326504176" TargetMode="External"/><Relationship Id="rId5" Type="http://schemas.openxmlformats.org/officeDocument/2006/relationships/hyperlink" Target="https://www.thermador.com/us/en/mkt-product/dishwashers/custom-panel/DWHD640EPR" TargetMode="External"/><Relationship Id="rId6" Type="http://schemas.openxmlformats.org/officeDocument/2006/relationships/hyperlink" Target="https://futurofuturo.com/54-skylight-ceiling-soffit-range-hood/?gad_source=1&amp;gad_campaignid=22020168852&amp;gbraid=0AAAAAD_hDAqqlhc5Adnrl7h_avAB-_94G&amp;gclid=Cj0KCQjwxJvBBhDuARIsAGUgNfjVKi_F2Q8pLZHI8rJNJsrPAnkCamTcDZ1jcF-O4WFol61rn8Fug2caAnlzEALw_wcB" TargetMode="External"/><Relationship Id="rId7" Type="http://schemas.openxmlformats.org/officeDocument/2006/relationships/hyperlink" Target="https://www.infinitysurfaces.it/invisible-induction-cooktop/" TargetMode="External"/><Relationship Id="rId8" Type="http://schemas.openxmlformats.org/officeDocument/2006/relationships/hyperlink" Target="https://www.homedepot.com/p/TITTLA-24-in-Single-Zone-150-Can-Beverage-Refrigerator-in-Silver-with-2-Different-Door-Handles-Built-in-Beverage-Cooler-KMBR150/32658023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7.xml"/><Relationship Id="rId20" Type="http://schemas.openxmlformats.org/officeDocument/2006/relationships/hyperlink" Target="https://drive.google.com/drive/folders/1bNi0XBzDl1bdR2sESOT_pHwP5_cY3Si-?usp=drive_link" TargetMode="External"/><Relationship Id="rId22" Type="http://schemas.openxmlformats.org/officeDocument/2006/relationships/hyperlink" Target="https://drive.google.com/drive/folders/1VYzhqzrTofUFGshRFZW6QJ8H3o7r3-oS?usp=drive_link" TargetMode="External"/><Relationship Id="rId21" Type="http://schemas.openxmlformats.org/officeDocument/2006/relationships/hyperlink" Target="https://drive.google.com/drive/folders/1P8E2IwEQFdvecPzJ-6r4skp7vO1SlwPq?usp=drive_link" TargetMode="External"/><Relationship Id="rId24" Type="http://schemas.openxmlformats.org/officeDocument/2006/relationships/hyperlink" Target="https://drive.google.com/drive/folders/1FevixeiYi6qP-JDOcljNfIkCs8gxZk3V?usp=drive_link" TargetMode="External"/><Relationship Id="rId23" Type="http://schemas.openxmlformats.org/officeDocument/2006/relationships/hyperlink" Target="https://drive.google.com/drive/folders/1ihhjJrkH-9Ml60aACTGJuL6-bE7hufvs?usp=drive_link" TargetMode="External"/><Relationship Id="rId1" Type="http://schemas.openxmlformats.org/officeDocument/2006/relationships/hyperlink" Target="https://drive.google.com/drive/folders/1BHTs-Kc8RRwQmGm8BYuY1fYw51_4ppv3?usp=drive_link" TargetMode="External"/><Relationship Id="rId2" Type="http://schemas.openxmlformats.org/officeDocument/2006/relationships/hyperlink" Target="https://drive.google.com/drive/folders/157yXGIBPpy9lv6kmUlpdFT_0CHVmhOwu?usp=drive_link" TargetMode="External"/><Relationship Id="rId3" Type="http://schemas.openxmlformats.org/officeDocument/2006/relationships/hyperlink" Target="https://drive.google.com/drive/folders/1yRp2YGIPR1jn1yZNLQhelVfh4m82YHmw?usp=drive_link" TargetMode="External"/><Relationship Id="rId4" Type="http://schemas.openxmlformats.org/officeDocument/2006/relationships/hyperlink" Target="https://drive.google.com/drive/folders/1iem3wW-2CSjcHm36weHWnyMoNDenOTpT?usp=drive_link" TargetMode="External"/><Relationship Id="rId9" Type="http://schemas.openxmlformats.org/officeDocument/2006/relationships/hyperlink" Target="https://drive.google.com/drive/folders/12ib4BzdTq8ELBP_WVprGjRWN-hwsWOSY?usp=drive_link" TargetMode="External"/><Relationship Id="rId26" Type="http://schemas.openxmlformats.org/officeDocument/2006/relationships/hyperlink" Target="https://drive.google.com/drive/folders/1tjrl2mFozhQPiHwXvMIAD5BH3K04tDpN?usp=drive_link" TargetMode="External"/><Relationship Id="rId25" Type="http://schemas.openxmlformats.org/officeDocument/2006/relationships/hyperlink" Target="https://drive.google.com/drive/folders/1LJppVX1uJcwAX5DPSp8NPpdRncDpr2-Z?usp=drive_link" TargetMode="External"/><Relationship Id="rId28" Type="http://schemas.openxmlformats.org/officeDocument/2006/relationships/hyperlink" Target="https://drive.google.com/drive/folders/1cm32LLXexNYiETBElybEkRgrSORxDUKY?usp=drive_link" TargetMode="External"/><Relationship Id="rId27" Type="http://schemas.openxmlformats.org/officeDocument/2006/relationships/hyperlink" Target="https://drive.google.com/drive/folders/1LJppVX1uJcwAX5DPSp8NPpdRncDpr2-Z?usp=drive_link" TargetMode="External"/><Relationship Id="rId5" Type="http://schemas.openxmlformats.org/officeDocument/2006/relationships/hyperlink" Target="https://drive.google.com/drive/folders/1VZJdYa0bwc5HZGWMHP01tt59HHi8a4ME?usp=drive_link" TargetMode="External"/><Relationship Id="rId6" Type="http://schemas.openxmlformats.org/officeDocument/2006/relationships/hyperlink" Target="https://drive.google.com/drive/folders/1FevixeiYi6qP-JDOcljNfIkCs8gxZk3V?usp=drive_link" TargetMode="External"/><Relationship Id="rId29" Type="http://schemas.openxmlformats.org/officeDocument/2006/relationships/hyperlink" Target="https://drive.google.com/drive/folders/1bNi0XBzDl1bdR2sESOT_pHwP5_cY3Si-?usp=drive_link" TargetMode="External"/><Relationship Id="rId7" Type="http://schemas.openxmlformats.org/officeDocument/2006/relationships/hyperlink" Target="https://drive.google.com/drive/folders/12ib4BzdTq8ELBP_WVprGjRWN-hwsWOSY?usp=drive_link" TargetMode="External"/><Relationship Id="rId8" Type="http://schemas.openxmlformats.org/officeDocument/2006/relationships/hyperlink" Target="https://drive.google.com/drive/folders/1ihhjJrkH-9Ml60aACTGJuL6-bE7hufvs?usp=drive_link" TargetMode="External"/><Relationship Id="rId31" Type="http://schemas.openxmlformats.org/officeDocument/2006/relationships/hyperlink" Target="https://drive.google.com/drive/folders/1ihrXMrpRNwOyPx2Gktk4Sr7HqJg_EMIz?usp=drive_link" TargetMode="External"/><Relationship Id="rId30" Type="http://schemas.openxmlformats.org/officeDocument/2006/relationships/hyperlink" Target="https://drive.google.com/drive/folders/1tjrl2mFozhQPiHwXvMIAD5BH3K04tDpN?usp=drive_link" TargetMode="External"/><Relationship Id="rId11" Type="http://schemas.openxmlformats.org/officeDocument/2006/relationships/hyperlink" Target="https://drive.google.com/drive/folders/1JwYFNvz87yO-Mzc7Q5MwKugehvzaN5Fg?usp=drive_link" TargetMode="External"/><Relationship Id="rId33" Type="http://schemas.openxmlformats.org/officeDocument/2006/relationships/hyperlink" Target="https://drive.google.com/drive/folders/1bNi0XBzDl1bdR2sESOT_pHwP5_cY3Si-?usp=drive_link" TargetMode="External"/><Relationship Id="rId10" Type="http://schemas.openxmlformats.org/officeDocument/2006/relationships/hyperlink" Target="https://drive.google.com/drive/folders/1xJBnqiOQXDNPBrvhr90yxVt7WJvU5Kro?usp=drive_link" TargetMode="External"/><Relationship Id="rId32" Type="http://schemas.openxmlformats.org/officeDocument/2006/relationships/hyperlink" Target="https://drive.google.com/drive/folders/1FevixeiYi6qP-JDOcljNfIkCs8gxZk3V?usp=drive_link" TargetMode="External"/><Relationship Id="rId13" Type="http://schemas.openxmlformats.org/officeDocument/2006/relationships/hyperlink" Target="https://drive.google.com/drive/folders/1ihhjJrkH-9Ml60aACTGJuL6-bE7hufvs?usp=drive_link" TargetMode="External"/><Relationship Id="rId35" Type="http://schemas.openxmlformats.org/officeDocument/2006/relationships/hyperlink" Target="https://drive.google.com/drive/folders/10gUyIXBoDey-_lKw57KO7qODIz0hXN3Z?usp=drive_link" TargetMode="External"/><Relationship Id="rId12" Type="http://schemas.openxmlformats.org/officeDocument/2006/relationships/hyperlink" Target="https://drive.google.com/drive/folders/1xJBnqiOQXDNPBrvhr90yxVt7WJvU5Kro?usp=drive_link" TargetMode="External"/><Relationship Id="rId34" Type="http://schemas.openxmlformats.org/officeDocument/2006/relationships/hyperlink" Target="https://drive.google.com/drive/folders/1VYzhqzrTofUFGshRFZW6QJ8H3o7r3-oS?usp=drive_link" TargetMode="External"/><Relationship Id="rId15" Type="http://schemas.openxmlformats.org/officeDocument/2006/relationships/hyperlink" Target="https://drive.google.com/drive/folders/1FevixeiYi6qP-JDOcljNfIkCs8gxZk3V?usp=drive_link" TargetMode="External"/><Relationship Id="rId37" Type="http://schemas.openxmlformats.org/officeDocument/2006/relationships/hyperlink" Target="https://drive.google.com/drive/folders/1ZlUEHhg14bR_l2pVMaUIcAsm3IaAkk_E?usp=drive_link" TargetMode="External"/><Relationship Id="rId14" Type="http://schemas.openxmlformats.org/officeDocument/2006/relationships/hyperlink" Target="https://drive.google.com/drive/folders/1ihhjJrkH-9Ml60aACTGJuL6-bE7hufvs?usp=drive_link" TargetMode="External"/><Relationship Id="rId36" Type="http://schemas.openxmlformats.org/officeDocument/2006/relationships/hyperlink" Target="https://drive.google.com/drive/folders/1ZlUEHhg14bR_l2pVMaUIcAsm3IaAkk_E?usp=drive_link" TargetMode="External"/><Relationship Id="rId17" Type="http://schemas.openxmlformats.org/officeDocument/2006/relationships/hyperlink" Target="https://drive.google.com/drive/folders/1JwYFNvz87yO-Mzc7Q5MwKugehvzaN5Fg?usp=drive_link" TargetMode="External"/><Relationship Id="rId39" Type="http://schemas.openxmlformats.org/officeDocument/2006/relationships/hyperlink" Target="https://drive.google.com/drive/folders/1ihhjJrkH-9Ml60aACTGJuL6-bE7hufvs?usp=drive_link" TargetMode="External"/><Relationship Id="rId16" Type="http://schemas.openxmlformats.org/officeDocument/2006/relationships/hyperlink" Target="https://drive.google.com/drive/folders/1J_-2f2CfNiyGrN9Ux8XYa73KAbO5bzzL?usp=drive_link" TargetMode="External"/><Relationship Id="rId38" Type="http://schemas.openxmlformats.org/officeDocument/2006/relationships/hyperlink" Target="https://drive.google.com/drive/folders/1FevixeiYi6qP-JDOcljNfIkCs8gxZk3V?usp=drive_link" TargetMode="External"/><Relationship Id="rId19" Type="http://schemas.openxmlformats.org/officeDocument/2006/relationships/hyperlink" Target="https://drive.google.com/drive/folders/1bNi0XBzDl1bdR2sESOT_pHwP5_cY3Si-?usp=drive_link" TargetMode="External"/><Relationship Id="rId18" Type="http://schemas.openxmlformats.org/officeDocument/2006/relationships/hyperlink" Target="https://drive.google.com/file/d/1ZBMD-Y_G22pCTiWiXngXmMtD8IOysq4P/view?usp=drive_link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2.25"/>
    <col customWidth="1" min="2" max="2" width="15.0"/>
    <col customWidth="1" min="3" max="3" width="28.25"/>
    <col customWidth="1" min="4" max="4" width="4.0"/>
    <col customWidth="1" min="5" max="6" width="15.13"/>
    <col customWidth="1" min="7" max="7" width="4.88"/>
    <col customWidth="1" min="8" max="8" width="14.13"/>
    <col customWidth="1" min="10" max="10" width="4.13"/>
    <col customWidth="1" min="13" max="13" width="4.75"/>
  </cols>
  <sheetData>
    <row r="1" ht="15.75" customHeight="1">
      <c r="A1" s="1"/>
      <c r="C1" s="2"/>
      <c r="H1" s="3" t="s">
        <v>0</v>
      </c>
      <c r="K1" s="2" t="s">
        <v>1</v>
      </c>
      <c r="M1" s="2" t="s">
        <v>2</v>
      </c>
    </row>
    <row r="2" ht="15.75" customHeight="1">
      <c r="A2" s="1" t="s">
        <v>3</v>
      </c>
      <c r="B2" s="3" t="s">
        <v>4</v>
      </c>
      <c r="C2" s="3" t="s">
        <v>5</v>
      </c>
      <c r="H2" s="3" t="s">
        <v>6</v>
      </c>
      <c r="K2" s="1" t="s">
        <v>7</v>
      </c>
      <c r="M2" s="4" t="s">
        <v>8</v>
      </c>
      <c r="O2" s="3" t="s">
        <v>9</v>
      </c>
    </row>
    <row r="3" ht="15.75" customHeight="1">
      <c r="A3" s="1" t="s">
        <v>10</v>
      </c>
      <c r="B3" s="3" t="s">
        <v>11</v>
      </c>
      <c r="C3" s="5" t="s">
        <v>12</v>
      </c>
      <c r="K3" s="1" t="s">
        <v>13</v>
      </c>
      <c r="M3" s="4" t="s">
        <v>14</v>
      </c>
    </row>
    <row r="4" ht="15.75" customHeight="1">
      <c r="A4" s="1" t="s">
        <v>15</v>
      </c>
      <c r="H4" s="3" t="s">
        <v>16</v>
      </c>
      <c r="M4" s="3" t="s">
        <v>17</v>
      </c>
    </row>
    <row r="5" ht="15.75" customHeight="1">
      <c r="A5" s="1" t="s">
        <v>18</v>
      </c>
      <c r="M5" s="3" t="s">
        <v>19</v>
      </c>
    </row>
    <row r="6" ht="15.75" customHeight="1">
      <c r="A6" s="1" t="s">
        <v>20</v>
      </c>
      <c r="H6" s="6" t="s">
        <v>21</v>
      </c>
      <c r="K6" s="3" t="s">
        <v>22</v>
      </c>
      <c r="M6" s="3" t="s">
        <v>23</v>
      </c>
    </row>
    <row r="7" ht="15.75" customHeight="1">
      <c r="A7" s="1"/>
      <c r="H7" s="6" t="s">
        <v>24</v>
      </c>
      <c r="K7" s="3" t="s">
        <v>25</v>
      </c>
      <c r="M7" s="3" t="s">
        <v>26</v>
      </c>
    </row>
    <row r="8" ht="15.75" customHeight="1">
      <c r="A8" s="1" t="s">
        <v>27</v>
      </c>
      <c r="B8" s="3" t="s">
        <v>28</v>
      </c>
      <c r="E8" s="3" t="s">
        <v>29</v>
      </c>
      <c r="F8" s="3" t="s">
        <v>30</v>
      </c>
      <c r="K8" s="3" t="s">
        <v>31</v>
      </c>
      <c r="M8" s="3" t="s">
        <v>32</v>
      </c>
    </row>
    <row r="9" ht="15.75" customHeight="1">
      <c r="A9" s="1" t="s">
        <v>33</v>
      </c>
      <c r="B9" s="3" t="s">
        <v>28</v>
      </c>
      <c r="H9" s="7" t="s">
        <v>34</v>
      </c>
      <c r="K9" s="3" t="s">
        <v>35</v>
      </c>
      <c r="M9" s="3" t="s">
        <v>36</v>
      </c>
    </row>
    <row r="10" ht="15.75" customHeight="1">
      <c r="A10" s="1" t="s">
        <v>37</v>
      </c>
      <c r="B10" s="3" t="s">
        <v>28</v>
      </c>
      <c r="H10" s="7" t="s">
        <v>38</v>
      </c>
    </row>
    <row r="11" ht="15.75" customHeight="1">
      <c r="A11" s="1" t="s">
        <v>39</v>
      </c>
      <c r="B11" s="3" t="s">
        <v>28</v>
      </c>
      <c r="K11" s="3" t="s">
        <v>40</v>
      </c>
    </row>
    <row r="12" ht="15.75" customHeight="1">
      <c r="A12" s="1" t="s">
        <v>41</v>
      </c>
      <c r="B12" s="3" t="s">
        <v>28</v>
      </c>
    </row>
    <row r="13" ht="15.75" customHeight="1">
      <c r="A13" s="1" t="s">
        <v>42</v>
      </c>
      <c r="B13" s="3" t="s">
        <v>28</v>
      </c>
    </row>
    <row r="14" ht="15.75" customHeight="1">
      <c r="A14" s="1"/>
    </row>
    <row r="15" ht="15.75" customHeight="1">
      <c r="A15" s="1" t="s">
        <v>43</v>
      </c>
    </row>
    <row r="16" ht="15.75" customHeight="1">
      <c r="A16" s="1" t="s">
        <v>44</v>
      </c>
    </row>
    <row r="17" ht="15.75" customHeight="1">
      <c r="A17" s="1" t="s">
        <v>45</v>
      </c>
      <c r="B17" s="3" t="s">
        <v>46</v>
      </c>
    </row>
    <row r="18" ht="15.75" customHeight="1">
      <c r="A18" s="1" t="s">
        <v>47</v>
      </c>
      <c r="B18" s="3" t="s">
        <v>46</v>
      </c>
    </row>
    <row r="19" ht="15.75" customHeight="1">
      <c r="A19" s="1" t="s">
        <v>48</v>
      </c>
    </row>
    <row r="20" ht="15.75" customHeight="1">
      <c r="A20" s="1" t="s">
        <v>49</v>
      </c>
    </row>
    <row r="21" ht="15.75" customHeight="1">
      <c r="A21" s="1"/>
    </row>
    <row r="22" ht="15.75" customHeight="1">
      <c r="A22" s="1" t="s">
        <v>50</v>
      </c>
      <c r="B22" s="3" t="s">
        <v>51</v>
      </c>
    </row>
    <row r="23" ht="15.75" customHeight="1">
      <c r="A23" s="1" t="s">
        <v>52</v>
      </c>
      <c r="B23" s="3" t="s">
        <v>53</v>
      </c>
      <c r="C23" s="3" t="s">
        <v>54</v>
      </c>
    </row>
    <row r="24" ht="15.75" customHeight="1">
      <c r="A24" s="1" t="s">
        <v>55</v>
      </c>
      <c r="B24" s="3" t="s">
        <v>56</v>
      </c>
      <c r="C24" s="3" t="s">
        <v>54</v>
      </c>
    </row>
    <row r="25" ht="15.75" customHeight="1">
      <c r="A25" s="1" t="s">
        <v>57</v>
      </c>
      <c r="B25" s="3" t="s">
        <v>58</v>
      </c>
      <c r="C25" s="3" t="s">
        <v>59</v>
      </c>
    </row>
    <row r="26" ht="15.75" customHeight="1">
      <c r="A26" s="1" t="s">
        <v>60</v>
      </c>
      <c r="C26" s="8"/>
      <c r="E26" s="5"/>
    </row>
    <row r="27" ht="15.75" customHeight="1">
      <c r="A27" s="1"/>
    </row>
    <row r="28" ht="15.75" customHeight="1">
      <c r="A28" s="1" t="s">
        <v>61</v>
      </c>
      <c r="B28" s="3" t="s">
        <v>53</v>
      </c>
      <c r="C28" s="3" t="s">
        <v>62</v>
      </c>
    </row>
    <row r="29" ht="15.75" customHeight="1">
      <c r="A29" s="4" t="s">
        <v>63</v>
      </c>
      <c r="B29" s="4" t="s">
        <v>64</v>
      </c>
      <c r="C29" s="4" t="s">
        <v>65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66</v>
      </c>
      <c r="B30" s="4" t="s">
        <v>64</v>
      </c>
      <c r="C30" s="9"/>
      <c r="D30" s="4"/>
      <c r="E30" s="1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 t="s">
        <v>67</v>
      </c>
      <c r="C31" s="12"/>
    </row>
    <row r="32" ht="15.75" customHeight="1">
      <c r="A32" s="11" t="s">
        <v>68</v>
      </c>
      <c r="D32" s="1"/>
    </row>
    <row r="33" ht="15.75" customHeight="1">
      <c r="A33" s="11" t="s">
        <v>69</v>
      </c>
      <c r="D33" s="1"/>
    </row>
    <row r="34" ht="15.75" customHeight="1">
      <c r="A34" s="1" t="s">
        <v>70</v>
      </c>
      <c r="B34" s="3" t="s">
        <v>71</v>
      </c>
      <c r="D34" s="1"/>
      <c r="E34" s="8"/>
    </row>
    <row r="35" ht="15.75" customHeight="1">
      <c r="A35" s="1" t="s">
        <v>72</v>
      </c>
      <c r="B35" s="3" t="s">
        <v>71</v>
      </c>
      <c r="D35" s="1"/>
    </row>
    <row r="36" ht="15.75" customHeight="1">
      <c r="A36" s="1" t="s">
        <v>73</v>
      </c>
      <c r="B36" s="3" t="s">
        <v>74</v>
      </c>
      <c r="C36" s="3" t="s">
        <v>75</v>
      </c>
      <c r="D36" s="1"/>
      <c r="E36" s="13" t="s">
        <v>76</v>
      </c>
    </row>
    <row r="37" ht="15.75" customHeight="1">
      <c r="A37" s="1" t="s">
        <v>77</v>
      </c>
      <c r="B37" s="3" t="s">
        <v>78</v>
      </c>
      <c r="C37" s="3" t="s">
        <v>79</v>
      </c>
      <c r="D37" s="1"/>
      <c r="F37" s="3" t="s">
        <v>80</v>
      </c>
      <c r="H37" s="3" t="s">
        <v>81</v>
      </c>
    </row>
    <row r="38" ht="15.75" customHeight="1">
      <c r="A38" s="1"/>
      <c r="D38" s="1"/>
    </row>
    <row r="39" ht="15.75" customHeight="1">
      <c r="A39" s="4" t="s">
        <v>82</v>
      </c>
      <c r="B39" s="4" t="s">
        <v>83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4" t="s">
        <v>84</v>
      </c>
      <c r="B40" s="4" t="s">
        <v>85</v>
      </c>
      <c r="C40" s="4" t="s">
        <v>86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4" t="s">
        <v>87</v>
      </c>
      <c r="B41" s="4" t="s">
        <v>85</v>
      </c>
      <c r="C41" s="4" t="s">
        <v>86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 t="s">
        <v>88</v>
      </c>
      <c r="D42" s="1"/>
    </row>
    <row r="43" ht="15.75" customHeight="1">
      <c r="A43" s="14" t="s">
        <v>89</v>
      </c>
      <c r="B43" s="4" t="s">
        <v>83</v>
      </c>
      <c r="C43" s="1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 t="s">
        <v>90</v>
      </c>
      <c r="B44" s="3"/>
      <c r="C44" s="3"/>
    </row>
    <row r="45" ht="15.75" customHeight="1">
      <c r="A45" s="1" t="s">
        <v>91</v>
      </c>
    </row>
    <row r="46" ht="15.75" customHeight="1">
      <c r="A46" s="1" t="s">
        <v>92</v>
      </c>
    </row>
    <row r="47" ht="15.75" customHeight="1">
      <c r="A47" s="16" t="s">
        <v>93</v>
      </c>
    </row>
    <row r="48" ht="15.75" customHeight="1">
      <c r="A48" s="1"/>
    </row>
    <row r="49" ht="15.75" customHeight="1">
      <c r="A49" s="1" t="s">
        <v>94</v>
      </c>
      <c r="B49" s="3" t="s">
        <v>95</v>
      </c>
      <c r="C49" s="3" t="s">
        <v>65</v>
      </c>
    </row>
    <row r="50" ht="15.75" customHeight="1">
      <c r="A50" s="1" t="s">
        <v>96</v>
      </c>
      <c r="B50" s="3" t="s">
        <v>97</v>
      </c>
      <c r="C50" s="3" t="s">
        <v>98</v>
      </c>
      <c r="E50" s="3">
        <v>5.7</v>
      </c>
      <c r="F50" s="3" t="s">
        <v>99</v>
      </c>
      <c r="H50" s="3" t="s">
        <v>100</v>
      </c>
    </row>
    <row r="51" ht="15.75" customHeight="1">
      <c r="A51" s="1" t="s">
        <v>101</v>
      </c>
      <c r="B51" s="3" t="s">
        <v>71</v>
      </c>
      <c r="E51" s="3">
        <v>5.5</v>
      </c>
      <c r="F51" s="3" t="s">
        <v>70</v>
      </c>
      <c r="H51" s="7"/>
    </row>
    <row r="52" ht="15.75" customHeight="1">
      <c r="A52" s="16" t="s">
        <v>102</v>
      </c>
      <c r="B52" s="3" t="s">
        <v>103</v>
      </c>
      <c r="C52" s="3" t="s">
        <v>79</v>
      </c>
      <c r="E52" s="3">
        <v>3.3</v>
      </c>
      <c r="F52" s="3" t="s">
        <v>99</v>
      </c>
    </row>
    <row r="53" ht="15.75" customHeight="1">
      <c r="A53" s="1" t="s">
        <v>104</v>
      </c>
      <c r="B53" s="3" t="s">
        <v>56</v>
      </c>
      <c r="C53" s="3" t="s">
        <v>62</v>
      </c>
    </row>
    <row r="54" ht="15.75" customHeight="1">
      <c r="A54" s="1" t="s">
        <v>105</v>
      </c>
      <c r="B54" s="3" t="s">
        <v>106</v>
      </c>
    </row>
    <row r="55" ht="15.75" customHeight="1">
      <c r="A55" s="16" t="s">
        <v>107</v>
      </c>
      <c r="B55" s="3" t="s">
        <v>106</v>
      </c>
      <c r="C55" s="3"/>
      <c r="I55" s="3" t="s">
        <v>108</v>
      </c>
      <c r="K55" s="3">
        <v>30.0</v>
      </c>
    </row>
    <row r="56" ht="15.75" customHeight="1">
      <c r="A56" s="1" t="s">
        <v>109</v>
      </c>
      <c r="B56" s="3" t="s">
        <v>56</v>
      </c>
      <c r="C56" s="3"/>
    </row>
    <row r="57" ht="15.75" customHeight="1">
      <c r="A57" s="1" t="s">
        <v>110</v>
      </c>
      <c r="B57" s="3"/>
      <c r="C57" s="3"/>
    </row>
    <row r="58" ht="15.75" customHeight="1">
      <c r="A58" s="1" t="s">
        <v>111</v>
      </c>
      <c r="B58" s="3"/>
      <c r="C58" s="3"/>
    </row>
    <row r="59" ht="15.75" customHeight="1">
      <c r="A59" s="1" t="s">
        <v>112</v>
      </c>
      <c r="B59" s="3" t="s">
        <v>56</v>
      </c>
      <c r="C59" s="3"/>
    </row>
    <row r="60" ht="15.75" customHeight="1">
      <c r="A60" s="1" t="s">
        <v>113</v>
      </c>
      <c r="B60" s="3" t="s">
        <v>56</v>
      </c>
      <c r="C60" s="3" t="s">
        <v>62</v>
      </c>
    </row>
    <row r="61" ht="15.75" customHeight="1">
      <c r="A61" s="1" t="s">
        <v>114</v>
      </c>
      <c r="B61" s="3" t="s">
        <v>115</v>
      </c>
      <c r="C61" s="3" t="s">
        <v>116</v>
      </c>
    </row>
    <row r="62" ht="15.75" customHeight="1">
      <c r="A62" s="4" t="s">
        <v>117</v>
      </c>
      <c r="B62" s="4" t="s">
        <v>118</v>
      </c>
      <c r="C62" s="15" t="s">
        <v>119</v>
      </c>
      <c r="D62" s="4"/>
      <c r="E62" s="15" t="s">
        <v>120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121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 t="s">
        <v>122</v>
      </c>
      <c r="B64" s="3"/>
    </row>
    <row r="65" ht="15.75" customHeight="1">
      <c r="A65" s="1" t="s">
        <v>123</v>
      </c>
      <c r="B65" s="3" t="s">
        <v>106</v>
      </c>
    </row>
    <row r="66" ht="15.75" customHeight="1">
      <c r="A66" s="1" t="s">
        <v>124</v>
      </c>
      <c r="B66" s="3"/>
    </row>
    <row r="67" ht="15.75" customHeight="1">
      <c r="A67" s="1" t="s">
        <v>125</v>
      </c>
      <c r="B67" s="3"/>
    </row>
    <row r="68" ht="15.75" customHeight="1">
      <c r="A68" s="1" t="s">
        <v>74</v>
      </c>
      <c r="B68" s="3"/>
    </row>
    <row r="69" ht="15.75" customHeight="1">
      <c r="A69" s="1" t="s">
        <v>126</v>
      </c>
      <c r="B69" s="3" t="s">
        <v>127</v>
      </c>
    </row>
    <row r="70" ht="15.75" customHeight="1">
      <c r="A70" s="1" t="s">
        <v>128</v>
      </c>
    </row>
    <row r="71" ht="15.75" customHeight="1">
      <c r="A71" s="1" t="s">
        <v>129</v>
      </c>
    </row>
    <row r="72" ht="15.75" customHeight="1">
      <c r="A72" s="1" t="s">
        <v>130</v>
      </c>
      <c r="B72" s="3" t="s">
        <v>131</v>
      </c>
      <c r="C72" s="3" t="s">
        <v>132</v>
      </c>
    </row>
    <row r="73" ht="15.75" customHeight="1">
      <c r="A73" s="1" t="s">
        <v>133</v>
      </c>
      <c r="C73" s="3"/>
    </row>
    <row r="74" ht="15.75" customHeight="1">
      <c r="A74" s="1" t="s">
        <v>134</v>
      </c>
      <c r="B74" s="3" t="s">
        <v>135</v>
      </c>
      <c r="C74" s="3" t="s">
        <v>136</v>
      </c>
    </row>
    <row r="75" ht="15.75" customHeight="1">
      <c r="A75" s="1"/>
    </row>
    <row r="76" ht="15.75" customHeight="1">
      <c r="A76" s="4" t="s">
        <v>137</v>
      </c>
      <c r="B76" s="4"/>
      <c r="C76" s="4" t="s">
        <v>138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" t="s">
        <v>139</v>
      </c>
    </row>
    <row r="78" ht="15.75" customHeight="1">
      <c r="A78" s="1" t="s">
        <v>140</v>
      </c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9.38"/>
    <col customWidth="1" min="2" max="2" width="15.5"/>
    <col customWidth="1" min="3" max="3" width="12.63"/>
    <col customWidth="1" min="4" max="4" width="12.75"/>
    <col customWidth="1" min="5" max="5" width="10.13"/>
    <col customWidth="1" min="6" max="6" width="9.75"/>
    <col customWidth="1" min="8" max="8" width="4.0"/>
    <col customWidth="1" min="9" max="9" width="12.75"/>
    <col customWidth="1" hidden="1" min="10" max="10" width="11.38"/>
    <col customWidth="1" hidden="1" min="11" max="15" width="12.63"/>
    <col customWidth="1" min="16" max="16" width="14.0"/>
    <col customWidth="1" min="18" max="18" width="14.0"/>
  </cols>
  <sheetData>
    <row r="1" ht="15.75" customHeight="1">
      <c r="A1" s="17" t="s">
        <v>141</v>
      </c>
      <c r="B1" s="17" t="s">
        <v>142</v>
      </c>
      <c r="C1" s="18">
        <f>B4-C4</f>
        <v>-7255.149</v>
      </c>
      <c r="D1" s="3" t="s">
        <v>143</v>
      </c>
      <c r="E1" s="19" t="s">
        <v>144</v>
      </c>
      <c r="F1" s="3">
        <v>84742.0</v>
      </c>
      <c r="H1" s="18"/>
    </row>
    <row r="2" ht="15.75" customHeight="1">
      <c r="B2" s="1"/>
      <c r="C2" s="20">
        <v>0.1</v>
      </c>
      <c r="F2" s="19"/>
      <c r="H2" s="18"/>
      <c r="I2" s="18"/>
    </row>
    <row r="3" ht="15.75" customHeight="1">
      <c r="A3" s="17" t="s">
        <v>145</v>
      </c>
      <c r="B3" s="17">
        <f>sum(L24:L28)</f>
        <v>6993</v>
      </c>
      <c r="C3" s="3" t="s">
        <v>146</v>
      </c>
      <c r="D3" s="21" t="s">
        <v>146</v>
      </c>
      <c r="E3" s="22" t="s">
        <v>147</v>
      </c>
      <c r="F3" s="22" t="s">
        <v>148</v>
      </c>
      <c r="G3" s="23" t="s">
        <v>149</v>
      </c>
      <c r="H3" s="24"/>
      <c r="I3" s="23" t="s">
        <v>150</v>
      </c>
      <c r="K3" s="3" t="s">
        <v>151</v>
      </c>
    </row>
    <row r="4" ht="15.75" customHeight="1">
      <c r="A4" s="25" t="s">
        <v>152</v>
      </c>
      <c r="B4" s="25">
        <f>sum(B6:B92)</f>
        <v>2846193.361</v>
      </c>
      <c r="C4" s="25">
        <f t="shared" ref="C4:D4" si="1">sum(C7:C92)</f>
        <v>2853448.51</v>
      </c>
      <c r="D4" s="25">
        <f t="shared" si="1"/>
        <v>3088193.361</v>
      </c>
      <c r="E4" s="25">
        <f>sum(E20:E92)</f>
        <v>363.6698643</v>
      </c>
      <c r="F4" s="26">
        <f>sum(F5:F92)</f>
        <v>383</v>
      </c>
      <c r="G4" s="27">
        <f>G92</f>
        <v>46127</v>
      </c>
      <c r="H4" s="25"/>
      <c r="I4" s="25">
        <f>sum(I7:I95)</f>
        <v>3089193.361</v>
      </c>
      <c r="J4" s="25"/>
      <c r="K4" s="25">
        <f>C4-D4</f>
        <v>-234744.851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ht="15.75" customHeight="1">
      <c r="B5" s="1"/>
      <c r="D5" s="28"/>
      <c r="G5" s="29"/>
      <c r="H5" s="30"/>
      <c r="I5" s="18"/>
      <c r="J5" s="30"/>
    </row>
    <row r="6" ht="15.75" customHeight="1">
      <c r="A6" s="2" t="s">
        <v>153</v>
      </c>
      <c r="B6" s="31">
        <f>sum(D7:D18)</f>
        <v>545050</v>
      </c>
      <c r="L6" s="18">
        <f>I26</f>
        <v>603350</v>
      </c>
      <c r="M6" s="3" t="s">
        <v>154</v>
      </c>
    </row>
    <row r="7" ht="15.75" customHeight="1">
      <c r="A7" s="32" t="s">
        <v>88</v>
      </c>
      <c r="B7" s="28" t="s">
        <v>155</v>
      </c>
      <c r="C7" s="28">
        <v>17000.0</v>
      </c>
      <c r="D7" s="28">
        <f t="shared" ref="D7:D16" si="2">(C7*$C$2)+C7</f>
        <v>18700</v>
      </c>
      <c r="E7" s="19">
        <f t="shared" ref="E7:E16" si="3">D7/$B$3</f>
        <v>2.674102674</v>
      </c>
      <c r="F7" s="1"/>
      <c r="G7" s="29">
        <v>45689.0</v>
      </c>
      <c r="H7" s="1"/>
      <c r="I7" s="18"/>
      <c r="J7" s="1"/>
      <c r="L7" s="18">
        <f>I32</f>
        <v>242000</v>
      </c>
      <c r="M7" s="33">
        <v>45991.0</v>
      </c>
    </row>
    <row r="8" ht="15.75" customHeight="1">
      <c r="A8" s="32" t="s">
        <v>90</v>
      </c>
      <c r="B8" s="28" t="s">
        <v>155</v>
      </c>
      <c r="C8" s="28">
        <v>18000.0</v>
      </c>
      <c r="D8" s="28">
        <f t="shared" si="2"/>
        <v>19800</v>
      </c>
      <c r="E8" s="19">
        <f t="shared" si="3"/>
        <v>2.831402831</v>
      </c>
      <c r="F8" s="1"/>
      <c r="G8" s="29">
        <v>45689.0</v>
      </c>
      <c r="H8" s="1"/>
      <c r="I8" s="18"/>
      <c r="J8" s="30"/>
      <c r="L8" s="18" t="str">
        <f>I37</f>
        <v/>
      </c>
      <c r="M8" s="33">
        <v>46021.0</v>
      </c>
    </row>
    <row r="9" ht="15.75" customHeight="1">
      <c r="A9" s="4" t="s">
        <v>156</v>
      </c>
      <c r="B9" s="28"/>
      <c r="C9" s="28">
        <v>25000.0</v>
      </c>
      <c r="D9" s="28">
        <f t="shared" si="2"/>
        <v>27500</v>
      </c>
      <c r="E9" s="19">
        <f t="shared" si="3"/>
        <v>3.932503933</v>
      </c>
      <c r="G9" s="29">
        <v>45689.0</v>
      </c>
      <c r="H9" s="19"/>
      <c r="I9" s="18"/>
      <c r="J9" s="30"/>
      <c r="L9" s="18">
        <f>I39</f>
        <v>1000</v>
      </c>
      <c r="M9" s="33">
        <v>46052.0</v>
      </c>
    </row>
    <row r="10" ht="15.75" customHeight="1">
      <c r="A10" s="4" t="s">
        <v>111</v>
      </c>
      <c r="B10" s="28"/>
      <c r="C10" s="28">
        <v>7500.0</v>
      </c>
      <c r="D10" s="28">
        <f t="shared" si="2"/>
        <v>8250</v>
      </c>
      <c r="E10" s="19">
        <f t="shared" si="3"/>
        <v>1.17975118</v>
      </c>
      <c r="G10" s="29">
        <v>45689.0</v>
      </c>
      <c r="H10" s="19"/>
      <c r="I10" s="18"/>
      <c r="J10" s="30"/>
      <c r="L10" s="3" t="str">
        <f>I41</f>
        <v/>
      </c>
      <c r="M10" s="33">
        <v>46081.0</v>
      </c>
    </row>
    <row r="11" ht="15.75" customHeight="1">
      <c r="A11" s="4" t="s">
        <v>117</v>
      </c>
      <c r="B11" s="28" t="s">
        <v>118</v>
      </c>
      <c r="C11" s="28">
        <v>26000.0</v>
      </c>
      <c r="D11" s="28">
        <f t="shared" si="2"/>
        <v>28600</v>
      </c>
      <c r="E11" s="19">
        <f t="shared" si="3"/>
        <v>4.08980409</v>
      </c>
      <c r="G11" s="29">
        <v>45689.0</v>
      </c>
      <c r="H11" s="19"/>
      <c r="I11" s="18"/>
      <c r="J11" s="30"/>
      <c r="L11" s="18">
        <f>I43</f>
        <v>187660</v>
      </c>
      <c r="M11" s="33">
        <v>46111.0</v>
      </c>
    </row>
    <row r="12" ht="15.75" customHeight="1">
      <c r="A12" s="11" t="s">
        <v>157</v>
      </c>
      <c r="B12" s="1" t="s">
        <v>158</v>
      </c>
      <c r="C12" s="28">
        <v>17000.0</v>
      </c>
      <c r="D12" s="28">
        <f t="shared" si="2"/>
        <v>18700</v>
      </c>
      <c r="E12" s="19">
        <f t="shared" si="3"/>
        <v>2.674102674</v>
      </c>
      <c r="G12" s="29">
        <v>45689.0</v>
      </c>
      <c r="H12" s="19"/>
      <c r="I12" s="18"/>
      <c r="J12" s="30"/>
      <c r="L12" s="18">
        <f>I53</f>
        <v>262900</v>
      </c>
      <c r="M12" s="33">
        <v>46142.0</v>
      </c>
    </row>
    <row r="13" ht="15.75" customHeight="1">
      <c r="A13" s="34" t="s">
        <v>122</v>
      </c>
      <c r="B13" s="1" t="s">
        <v>155</v>
      </c>
      <c r="C13" s="28">
        <v>80000.0</v>
      </c>
      <c r="D13" s="28">
        <f t="shared" si="2"/>
        <v>88000</v>
      </c>
      <c r="E13" s="19">
        <f t="shared" si="3"/>
        <v>12.58401258</v>
      </c>
      <c r="G13" s="29">
        <v>45689.0</v>
      </c>
      <c r="H13" s="19"/>
      <c r="I13" s="18"/>
      <c r="J13" s="30"/>
      <c r="L13" s="18">
        <f t="shared" ref="L13:L14" si="4">I61</f>
        <v>415800</v>
      </c>
      <c r="M13" s="33">
        <v>46172.0</v>
      </c>
    </row>
    <row r="14" ht="15.75" customHeight="1">
      <c r="A14" s="35" t="s">
        <v>73</v>
      </c>
      <c r="B14" s="17" t="s">
        <v>159</v>
      </c>
      <c r="C14" s="28">
        <v>50000.0</v>
      </c>
      <c r="D14" s="28">
        <f t="shared" si="2"/>
        <v>55000</v>
      </c>
      <c r="E14" s="19">
        <f t="shared" si="3"/>
        <v>7.865007865</v>
      </c>
      <c r="G14" s="29">
        <v>45689.0</v>
      </c>
      <c r="H14" s="19"/>
      <c r="I14" s="18"/>
      <c r="J14" s="30"/>
      <c r="L14" s="18">
        <f t="shared" si="4"/>
        <v>78650</v>
      </c>
      <c r="M14" s="33">
        <v>46203.0</v>
      </c>
    </row>
    <row r="15" ht="15.75" customHeight="1">
      <c r="A15" s="35" t="s">
        <v>160</v>
      </c>
      <c r="B15" s="17" t="s">
        <v>64</v>
      </c>
      <c r="C15" s="28">
        <v>115000.0</v>
      </c>
      <c r="D15" s="28">
        <f t="shared" si="2"/>
        <v>126500</v>
      </c>
      <c r="E15" s="19">
        <f t="shared" si="3"/>
        <v>18.08951809</v>
      </c>
      <c r="G15" s="29">
        <v>45689.0</v>
      </c>
      <c r="H15" s="19"/>
      <c r="I15" s="18"/>
      <c r="J15" s="30"/>
      <c r="L15" s="18">
        <f>I73</f>
        <v>296450</v>
      </c>
      <c r="M15" s="33">
        <v>46233.0</v>
      </c>
    </row>
    <row r="16" ht="15.75" customHeight="1">
      <c r="A16" s="35" t="s">
        <v>161</v>
      </c>
      <c r="B16" s="17" t="s">
        <v>74</v>
      </c>
      <c r="C16" s="28">
        <v>45000.0</v>
      </c>
      <c r="D16" s="28">
        <f t="shared" si="2"/>
        <v>49500</v>
      </c>
      <c r="E16" s="19">
        <f t="shared" si="3"/>
        <v>7.078507079</v>
      </c>
      <c r="F16" s="1"/>
      <c r="G16" s="29">
        <v>45689.0</v>
      </c>
      <c r="H16" s="1"/>
      <c r="I16" s="18"/>
      <c r="J16" s="1"/>
      <c r="L16" s="18">
        <f>I81</f>
        <v>243100</v>
      </c>
      <c r="M16" s="33">
        <v>46264.0</v>
      </c>
    </row>
    <row r="17" ht="15.75" customHeight="1">
      <c r="A17" s="32" t="s">
        <v>137</v>
      </c>
      <c r="B17" s="1"/>
      <c r="C17" s="28">
        <v>46000.0</v>
      </c>
      <c r="D17" s="28"/>
      <c r="G17" s="29"/>
      <c r="H17" s="19"/>
      <c r="I17" s="18"/>
      <c r="J17" s="30"/>
      <c r="M17" s="33"/>
      <c r="N17" s="29"/>
    </row>
    <row r="18" ht="15.75" customHeight="1">
      <c r="A18" s="32" t="s">
        <v>134</v>
      </c>
      <c r="B18" s="1" t="s">
        <v>162</v>
      </c>
      <c r="C18" s="28">
        <v>95000.0</v>
      </c>
      <c r="D18" s="28">
        <f>(C18*$C$2)+C18</f>
        <v>104500</v>
      </c>
      <c r="E18" s="19">
        <f>D18/$B$3</f>
        <v>14.94351494</v>
      </c>
      <c r="G18" s="29">
        <v>45689.0</v>
      </c>
      <c r="H18" s="19"/>
      <c r="I18" s="18"/>
      <c r="J18" s="30"/>
      <c r="L18" s="18">
        <f>I87</f>
        <v>287650</v>
      </c>
      <c r="M18" s="33">
        <v>46295.0</v>
      </c>
      <c r="N18" s="29"/>
    </row>
    <row r="19" ht="15.75" customHeight="1">
      <c r="A19" s="2" t="s">
        <v>163</v>
      </c>
      <c r="B19" s="36">
        <f>sum(D20:D26)</f>
        <v>58300</v>
      </c>
      <c r="C19" s="28"/>
      <c r="D19" s="28"/>
      <c r="G19" s="29"/>
      <c r="H19" s="19"/>
      <c r="I19" s="18"/>
      <c r="J19" s="30"/>
      <c r="L19" s="18">
        <f>I89</f>
        <v>27500</v>
      </c>
      <c r="M19" s="33">
        <v>46325.0</v>
      </c>
    </row>
    <row r="20" ht="15.75" customHeight="1">
      <c r="A20" s="37" t="s">
        <v>164</v>
      </c>
      <c r="B20" s="17"/>
      <c r="C20" s="28">
        <v>10000.0</v>
      </c>
      <c r="D20" s="28">
        <f t="shared" ref="D20:D26" si="5">(C20*$C$2)+C20</f>
        <v>11000</v>
      </c>
      <c r="E20" s="19">
        <f t="shared" ref="E20:E26" si="6">D20/$B$3</f>
        <v>1.573001573</v>
      </c>
      <c r="G20" s="29">
        <v>45689.0</v>
      </c>
      <c r="H20" s="19"/>
      <c r="I20" s="18"/>
      <c r="J20" s="30"/>
      <c r="L20" s="18">
        <f>I91</f>
        <v>30800</v>
      </c>
      <c r="M20" s="33">
        <v>46356.0</v>
      </c>
    </row>
    <row r="21" ht="15.75" customHeight="1">
      <c r="A21" s="38" t="s">
        <v>165</v>
      </c>
      <c r="B21" s="17" t="s">
        <v>166</v>
      </c>
      <c r="C21" s="28">
        <v>30000.0</v>
      </c>
      <c r="D21" s="28">
        <f t="shared" si="5"/>
        <v>33000</v>
      </c>
      <c r="E21" s="19">
        <f t="shared" si="6"/>
        <v>4.719004719</v>
      </c>
      <c r="G21" s="29">
        <v>45690.0</v>
      </c>
      <c r="H21" s="19"/>
      <c r="I21" s="18"/>
      <c r="J21" s="30"/>
      <c r="K21" s="3" t="s">
        <v>167</v>
      </c>
      <c r="L21" s="18">
        <f>sum(L6:L20)</f>
        <v>2676860</v>
      </c>
    </row>
    <row r="22" ht="15.75" customHeight="1">
      <c r="A22" s="39" t="s">
        <v>168</v>
      </c>
      <c r="B22" s="17"/>
      <c r="C22" s="28">
        <v>5000.0</v>
      </c>
      <c r="D22" s="28">
        <f t="shared" si="5"/>
        <v>5500</v>
      </c>
      <c r="E22" s="19">
        <f t="shared" si="6"/>
        <v>0.7865007865</v>
      </c>
      <c r="G22" s="29">
        <v>45691.0</v>
      </c>
      <c r="I22" s="18"/>
    </row>
    <row r="23" ht="15.75" customHeight="1">
      <c r="A23" s="39" t="s">
        <v>169</v>
      </c>
      <c r="B23" s="17"/>
      <c r="C23" s="28">
        <v>1500.0</v>
      </c>
      <c r="D23" s="28">
        <f t="shared" si="5"/>
        <v>1650</v>
      </c>
      <c r="E23" s="19">
        <f t="shared" si="6"/>
        <v>0.235950236</v>
      </c>
      <c r="G23" s="29">
        <v>45692.0</v>
      </c>
      <c r="I23" s="18"/>
    </row>
    <row r="24" ht="15.75" customHeight="1">
      <c r="A24" s="39" t="s">
        <v>170</v>
      </c>
      <c r="B24" s="17" t="s">
        <v>171</v>
      </c>
      <c r="C24" s="28">
        <v>1000.0</v>
      </c>
      <c r="D24" s="28">
        <f t="shared" si="5"/>
        <v>1100</v>
      </c>
      <c r="E24" s="19">
        <f t="shared" si="6"/>
        <v>0.1573001573</v>
      </c>
      <c r="F24" s="1"/>
      <c r="G24" s="29">
        <v>45693.0</v>
      </c>
      <c r="H24" s="1"/>
      <c r="I24" s="18"/>
      <c r="J24" s="1"/>
      <c r="L24" s="3">
        <v>2181.0</v>
      </c>
    </row>
    <row r="25" ht="15.75" customHeight="1">
      <c r="A25" s="39" t="s">
        <v>172</v>
      </c>
      <c r="B25" s="40" t="s">
        <v>11</v>
      </c>
      <c r="C25" s="28">
        <v>3000.0</v>
      </c>
      <c r="D25" s="28">
        <f t="shared" si="5"/>
        <v>3300</v>
      </c>
      <c r="E25" s="19">
        <f t="shared" si="6"/>
        <v>0.4719004719</v>
      </c>
      <c r="F25" s="1"/>
      <c r="G25" s="29">
        <v>45694.0</v>
      </c>
      <c r="H25" s="1"/>
      <c r="I25" s="18"/>
      <c r="J25" s="1"/>
      <c r="L25" s="3">
        <v>409.0</v>
      </c>
    </row>
    <row r="26" ht="15.75" customHeight="1">
      <c r="A26" s="39" t="s">
        <v>173</v>
      </c>
      <c r="B26" s="17"/>
      <c r="C26" s="28">
        <v>2500.0</v>
      </c>
      <c r="D26" s="28">
        <f t="shared" si="5"/>
        <v>2750</v>
      </c>
      <c r="E26" s="19">
        <f t="shared" si="6"/>
        <v>0.3932503933</v>
      </c>
      <c r="F26" s="1"/>
      <c r="G26" s="29">
        <v>45695.0</v>
      </c>
      <c r="H26" s="1"/>
      <c r="I26" s="18">
        <f>B6+B19</f>
        <v>603350</v>
      </c>
      <c r="J26" s="41"/>
      <c r="K26" s="42"/>
      <c r="L26" s="42">
        <v>2206.0</v>
      </c>
    </row>
    <row r="27" ht="15.75" customHeight="1">
      <c r="A27" s="43" t="s">
        <v>174</v>
      </c>
      <c r="B27" s="36" t="s">
        <v>175</v>
      </c>
      <c r="C27" s="28"/>
      <c r="D27" s="28"/>
      <c r="F27" s="1"/>
      <c r="G27" s="29"/>
      <c r="H27" s="1"/>
      <c r="I27" s="44"/>
      <c r="J27" s="1"/>
      <c r="L27" s="3">
        <v>919.0</v>
      </c>
    </row>
    <row r="28" ht="15.75" customHeight="1">
      <c r="A28" s="45" t="s">
        <v>174</v>
      </c>
      <c r="B28" s="46"/>
      <c r="C28" s="28">
        <v>122000.0</v>
      </c>
      <c r="D28" s="28">
        <f t="shared" ref="D28:D32" si="7">(C28*$C$2)+C28</f>
        <v>134200</v>
      </c>
      <c r="E28" s="19">
        <f t="shared" ref="E28:E32" si="8">D28/$B$3</f>
        <v>19.19061919</v>
      </c>
      <c r="F28" s="1">
        <v>7.0</v>
      </c>
      <c r="G28" s="29">
        <f>WORKDAY(G26, F28)</f>
        <v>45706</v>
      </c>
      <c r="H28" s="1"/>
      <c r="I28" s="18"/>
      <c r="J28" s="1"/>
      <c r="L28" s="3">
        <v>1278.0</v>
      </c>
    </row>
    <row r="29" ht="15.75" customHeight="1">
      <c r="A29" s="3" t="s">
        <v>176</v>
      </c>
      <c r="C29" s="28">
        <v>78000.0</v>
      </c>
      <c r="D29" s="28">
        <f t="shared" si="7"/>
        <v>85800</v>
      </c>
      <c r="E29" s="19">
        <f t="shared" si="8"/>
        <v>12.26941227</v>
      </c>
      <c r="F29" s="3">
        <v>14.0</v>
      </c>
      <c r="G29" s="29">
        <f t="shared" ref="G29:G32" si="9">WORKDAY(G28, F29)</f>
        <v>45726</v>
      </c>
    </row>
    <row r="30" ht="15.75" customHeight="1">
      <c r="A30" s="45" t="s">
        <v>87</v>
      </c>
      <c r="B30" s="47" t="s">
        <v>155</v>
      </c>
      <c r="C30" s="28">
        <v>10000.0</v>
      </c>
      <c r="D30" s="28">
        <f t="shared" si="7"/>
        <v>11000</v>
      </c>
      <c r="E30" s="19">
        <f t="shared" si="8"/>
        <v>1.573001573</v>
      </c>
      <c r="F30" s="1">
        <v>2.0</v>
      </c>
      <c r="G30" s="29">
        <f t="shared" si="9"/>
        <v>45728</v>
      </c>
      <c r="H30" s="1"/>
      <c r="I30" s="18"/>
      <c r="J30" s="1"/>
    </row>
    <row r="31" ht="15.75" customHeight="1">
      <c r="A31" s="45" t="s">
        <v>177</v>
      </c>
      <c r="B31" s="46"/>
      <c r="C31" s="28">
        <v>5000.0</v>
      </c>
      <c r="D31" s="28">
        <f t="shared" si="7"/>
        <v>5500</v>
      </c>
      <c r="E31" s="19">
        <f t="shared" si="8"/>
        <v>0.7865007865</v>
      </c>
      <c r="F31" s="1">
        <v>5.0</v>
      </c>
      <c r="G31" s="29">
        <f t="shared" si="9"/>
        <v>45735</v>
      </c>
      <c r="H31" s="1"/>
      <c r="I31" s="18"/>
      <c r="J31" s="1"/>
      <c r="L31" s="3">
        <v>1979.0</v>
      </c>
    </row>
    <row r="32" ht="15.75" customHeight="1">
      <c r="A32" s="45" t="s">
        <v>178</v>
      </c>
      <c r="B32" s="46"/>
      <c r="C32" s="28">
        <v>5000.0</v>
      </c>
      <c r="D32" s="28">
        <f t="shared" si="7"/>
        <v>5500</v>
      </c>
      <c r="E32" s="19">
        <f t="shared" si="8"/>
        <v>0.7865007865</v>
      </c>
      <c r="F32" s="1">
        <v>4.0</v>
      </c>
      <c r="G32" s="29">
        <f t="shared" si="9"/>
        <v>45741</v>
      </c>
      <c r="H32" s="1"/>
      <c r="I32" s="18">
        <f>sum(D28:D32)</f>
        <v>242000</v>
      </c>
      <c r="L32" s="3">
        <v>3229.0</v>
      </c>
    </row>
    <row r="33" ht="15.75" customHeight="1">
      <c r="A33" s="43" t="s">
        <v>3</v>
      </c>
      <c r="B33" s="36">
        <f>sum(D34:D43)</f>
        <v>599993.361</v>
      </c>
      <c r="C33" s="28"/>
      <c r="D33" s="28"/>
      <c r="F33" s="1"/>
      <c r="H33" s="1"/>
      <c r="I33" s="44"/>
      <c r="J33" s="1"/>
      <c r="L33" s="3">
        <f>sum(L31:L32)</f>
        <v>5208</v>
      </c>
      <c r="M33" s="19">
        <f>(D53+D85)/L33</f>
        <v>31.25960061</v>
      </c>
    </row>
    <row r="34" ht="15.75" customHeight="1">
      <c r="A34" s="48" t="s">
        <v>179</v>
      </c>
      <c r="B34" s="49" t="s">
        <v>180</v>
      </c>
      <c r="C34" s="19">
        <v>35710.41</v>
      </c>
      <c r="D34" s="28">
        <f t="shared" ref="D34:D43" si="10">(C34*$C$2)+C34</f>
        <v>39281.451</v>
      </c>
      <c r="E34" s="19">
        <f t="shared" ref="E34:E43" si="11">D34/$B$3</f>
        <v>5.61725311</v>
      </c>
      <c r="F34" s="3">
        <v>7.0</v>
      </c>
      <c r="G34" s="29">
        <f>WORKDAY(G32, F34)</f>
        <v>45750</v>
      </c>
      <c r="H34" s="1"/>
      <c r="I34" s="18"/>
      <c r="J34" s="1"/>
    </row>
    <row r="35" ht="15.75" customHeight="1">
      <c r="A35" s="48" t="s">
        <v>181</v>
      </c>
      <c r="B35" s="49" t="s">
        <v>180</v>
      </c>
      <c r="C35" s="19">
        <v>63078.0</v>
      </c>
      <c r="D35" s="28">
        <f t="shared" si="10"/>
        <v>69385.8</v>
      </c>
      <c r="E35" s="19">
        <f t="shared" si="11"/>
        <v>9.922179322</v>
      </c>
      <c r="F35" s="3">
        <v>7.0</v>
      </c>
      <c r="G35" s="29">
        <f t="shared" ref="G35:G38" si="12">WORKDAY(G34, F35)</f>
        <v>45761</v>
      </c>
      <c r="H35" s="50"/>
      <c r="I35" s="18"/>
      <c r="J35" s="1"/>
    </row>
    <row r="36" ht="15.75" customHeight="1">
      <c r="A36" s="48" t="s">
        <v>182</v>
      </c>
      <c r="B36" s="49" t="s">
        <v>180</v>
      </c>
      <c r="C36" s="19">
        <v>49345.1</v>
      </c>
      <c r="D36" s="28">
        <f t="shared" si="10"/>
        <v>54279.61</v>
      </c>
      <c r="E36" s="19">
        <f t="shared" si="11"/>
        <v>7.761991992</v>
      </c>
      <c r="F36" s="3">
        <v>7.0</v>
      </c>
      <c r="G36" s="29">
        <f t="shared" si="12"/>
        <v>45770</v>
      </c>
      <c r="H36" s="50"/>
      <c r="J36" s="1"/>
    </row>
    <row r="37" ht="15.75" customHeight="1">
      <c r="A37" s="48" t="s">
        <v>183</v>
      </c>
      <c r="B37" s="49" t="s">
        <v>180</v>
      </c>
      <c r="C37" s="19">
        <v>32075.0</v>
      </c>
      <c r="D37" s="28">
        <f t="shared" si="10"/>
        <v>35282.5</v>
      </c>
      <c r="E37" s="19">
        <f t="shared" si="11"/>
        <v>5.045402545</v>
      </c>
      <c r="F37" s="3">
        <v>7.0</v>
      </c>
      <c r="G37" s="29">
        <f t="shared" si="12"/>
        <v>45779</v>
      </c>
      <c r="H37" s="50"/>
      <c r="I37" s="18"/>
      <c r="J37" s="1"/>
    </row>
    <row r="38" ht="15.75" customHeight="1">
      <c r="A38" s="48" t="s">
        <v>184</v>
      </c>
      <c r="B38" s="49" t="s">
        <v>180</v>
      </c>
      <c r="C38" s="28">
        <v>9640.0</v>
      </c>
      <c r="D38" s="28">
        <f t="shared" si="10"/>
        <v>10604</v>
      </c>
      <c r="E38" s="19">
        <f t="shared" si="11"/>
        <v>1.516373516</v>
      </c>
      <c r="F38" s="3">
        <v>7.0</v>
      </c>
      <c r="G38" s="29">
        <f t="shared" si="12"/>
        <v>45790</v>
      </c>
      <c r="H38" s="1"/>
      <c r="I38" s="18">
        <f>sum(D34:D38)</f>
        <v>208833.361</v>
      </c>
      <c r="J38" s="1"/>
    </row>
    <row r="39" ht="15.75" customHeight="1">
      <c r="A39" s="48" t="s">
        <v>185</v>
      </c>
      <c r="B39" s="51" t="s">
        <v>155</v>
      </c>
      <c r="C39" s="28">
        <v>1000.0</v>
      </c>
      <c r="D39" s="28">
        <f t="shared" si="10"/>
        <v>1100</v>
      </c>
      <c r="E39" s="19">
        <f t="shared" si="11"/>
        <v>0.1573001573</v>
      </c>
      <c r="F39" s="3">
        <v>7.0</v>
      </c>
      <c r="G39" s="29">
        <f>WORKDAY(G37, F39)</f>
        <v>45790</v>
      </c>
      <c r="H39" s="1"/>
      <c r="I39" s="18">
        <f t="shared" ref="I39:I40" si="13">C39</f>
        <v>1000</v>
      </c>
      <c r="J39" s="1"/>
    </row>
    <row r="40" ht="15.75" customHeight="1">
      <c r="A40" s="48" t="s">
        <v>50</v>
      </c>
      <c r="B40" s="47" t="s">
        <v>186</v>
      </c>
      <c r="C40" s="28">
        <v>184000.0</v>
      </c>
      <c r="D40" s="28">
        <f t="shared" si="10"/>
        <v>202400</v>
      </c>
      <c r="E40" s="19">
        <f t="shared" si="11"/>
        <v>28.94322894</v>
      </c>
      <c r="F40" s="1">
        <v>27.0</v>
      </c>
      <c r="G40" s="29">
        <f t="shared" ref="G40:G43" si="14">WORKDAY(G39, F40)</f>
        <v>45827</v>
      </c>
      <c r="H40" s="1"/>
      <c r="I40" s="18">
        <f t="shared" si="13"/>
        <v>184000</v>
      </c>
      <c r="J40" s="1"/>
    </row>
    <row r="41" ht="15.75" customHeight="1">
      <c r="A41" s="48" t="s">
        <v>187</v>
      </c>
      <c r="B41" s="52" t="s">
        <v>53</v>
      </c>
      <c r="C41" s="28">
        <v>50000.0</v>
      </c>
      <c r="D41" s="28">
        <f t="shared" si="10"/>
        <v>55000</v>
      </c>
      <c r="E41" s="19">
        <f t="shared" si="11"/>
        <v>7.865007865</v>
      </c>
      <c r="F41" s="1"/>
      <c r="G41" s="29">
        <f t="shared" si="14"/>
        <v>45827</v>
      </c>
      <c r="H41" s="1"/>
      <c r="J41" s="1"/>
    </row>
    <row r="42" ht="15.75" customHeight="1">
      <c r="A42" s="48" t="s">
        <v>57</v>
      </c>
      <c r="B42" s="52" t="s">
        <v>188</v>
      </c>
      <c r="C42" s="28">
        <v>80600.0</v>
      </c>
      <c r="D42" s="28">
        <f t="shared" si="10"/>
        <v>88660</v>
      </c>
      <c r="E42" s="19">
        <f t="shared" si="11"/>
        <v>12.67839268</v>
      </c>
      <c r="F42" s="1">
        <v>27.0</v>
      </c>
      <c r="G42" s="29">
        <f t="shared" si="14"/>
        <v>45866</v>
      </c>
      <c r="H42" s="1"/>
      <c r="I42" s="18"/>
      <c r="J42" s="1"/>
      <c r="K42" s="18"/>
    </row>
    <row r="43" ht="15.75" customHeight="1">
      <c r="A43" s="48" t="s">
        <v>52</v>
      </c>
      <c r="B43" s="47" t="s">
        <v>189</v>
      </c>
      <c r="C43" s="28">
        <v>40000.0</v>
      </c>
      <c r="D43" s="28">
        <f t="shared" si="10"/>
        <v>44000</v>
      </c>
      <c r="E43" s="19">
        <f t="shared" si="11"/>
        <v>6.292006292</v>
      </c>
      <c r="F43" s="1"/>
      <c r="G43" s="29">
        <f t="shared" si="14"/>
        <v>45866</v>
      </c>
      <c r="H43" s="50"/>
      <c r="I43" s="18">
        <f>sum(D41:D43)</f>
        <v>187660</v>
      </c>
    </row>
    <row r="44" ht="15.75" customHeight="1">
      <c r="A44" s="2" t="s">
        <v>190</v>
      </c>
      <c r="B44" s="36">
        <f>sum(D45:D50)</f>
        <v>252450</v>
      </c>
      <c r="C44" s="28"/>
      <c r="D44" s="28"/>
      <c r="F44" s="1"/>
      <c r="G44" s="29"/>
      <c r="H44" s="28"/>
      <c r="I44" s="44"/>
      <c r="J44" s="1"/>
    </row>
    <row r="45" ht="15.75" customHeight="1">
      <c r="A45" s="32" t="s">
        <v>191</v>
      </c>
      <c r="B45" s="49" t="s">
        <v>83</v>
      </c>
      <c r="C45" s="28">
        <v>32000.0</v>
      </c>
      <c r="D45" s="28">
        <f t="shared" ref="D45:D50" si="15">(C45*$C$2)+C45</f>
        <v>35200</v>
      </c>
      <c r="E45" s="19">
        <f t="shared" ref="E45:E50" si="16">D45/$B$3</f>
        <v>5.033605034</v>
      </c>
      <c r="F45" s="1">
        <v>5.0</v>
      </c>
      <c r="G45" s="29">
        <f>WORKDAY(G43, F45)</f>
        <v>45873</v>
      </c>
      <c r="H45" s="1"/>
      <c r="I45" s="18"/>
      <c r="J45" s="1"/>
    </row>
    <row r="46" ht="15.75" customHeight="1">
      <c r="A46" s="32" t="s">
        <v>192</v>
      </c>
      <c r="B46" s="49" t="s">
        <v>85</v>
      </c>
      <c r="C46" s="28">
        <v>25000.0</v>
      </c>
      <c r="D46" s="28">
        <f t="shared" si="15"/>
        <v>27500</v>
      </c>
      <c r="E46" s="19">
        <f t="shared" si="16"/>
        <v>3.932503933</v>
      </c>
      <c r="F46" s="1">
        <v>5.0</v>
      </c>
      <c r="G46" s="29">
        <f t="shared" ref="G46:G50" si="17">WORKDAY(G45, F46)</f>
        <v>45880</v>
      </c>
      <c r="H46" s="1"/>
      <c r="I46" s="18"/>
      <c r="J46" s="1"/>
    </row>
    <row r="47" ht="15.75" customHeight="1">
      <c r="A47" s="32" t="s">
        <v>89</v>
      </c>
      <c r="B47" s="49" t="s">
        <v>193</v>
      </c>
      <c r="C47" s="28">
        <v>45000.0</v>
      </c>
      <c r="D47" s="28">
        <f t="shared" si="15"/>
        <v>49500</v>
      </c>
      <c r="E47" s="19">
        <f t="shared" si="16"/>
        <v>7.078507079</v>
      </c>
      <c r="F47" s="1">
        <v>10.0</v>
      </c>
      <c r="G47" s="29">
        <f t="shared" si="17"/>
        <v>45894</v>
      </c>
      <c r="H47" s="1"/>
      <c r="I47" s="18"/>
      <c r="J47" s="1"/>
    </row>
    <row r="48" ht="15.75" customHeight="1">
      <c r="A48" s="32" t="s">
        <v>133</v>
      </c>
      <c r="B48" s="28" t="s">
        <v>194</v>
      </c>
      <c r="C48" s="28">
        <v>80000.0</v>
      </c>
      <c r="D48" s="28">
        <f t="shared" si="15"/>
        <v>88000</v>
      </c>
      <c r="E48" s="19">
        <f t="shared" si="16"/>
        <v>12.58401258</v>
      </c>
      <c r="F48" s="1">
        <v>5.0</v>
      </c>
      <c r="G48" s="29">
        <f t="shared" si="17"/>
        <v>45901</v>
      </c>
      <c r="H48" s="1"/>
      <c r="I48" s="18"/>
      <c r="J48" s="1"/>
    </row>
    <row r="49" ht="15.75" customHeight="1">
      <c r="A49" s="32" t="s">
        <v>91</v>
      </c>
      <c r="B49" s="17" t="s">
        <v>195</v>
      </c>
      <c r="C49" s="28">
        <v>25000.0</v>
      </c>
      <c r="D49" s="28">
        <f t="shared" si="15"/>
        <v>27500</v>
      </c>
      <c r="E49" s="19">
        <f t="shared" si="16"/>
        <v>3.932503933</v>
      </c>
      <c r="F49" s="1"/>
      <c r="G49" s="29">
        <f t="shared" si="17"/>
        <v>45901</v>
      </c>
      <c r="H49" s="1"/>
      <c r="I49" s="18"/>
      <c r="J49" s="1"/>
    </row>
    <row r="50" ht="15.75" customHeight="1">
      <c r="A50" s="32" t="s">
        <v>93</v>
      </c>
      <c r="B50" s="28" t="s">
        <v>196</v>
      </c>
      <c r="C50" s="28">
        <v>22500.0</v>
      </c>
      <c r="D50" s="28">
        <f t="shared" si="15"/>
        <v>24750</v>
      </c>
      <c r="E50" s="19">
        <f t="shared" si="16"/>
        <v>3.539253539</v>
      </c>
      <c r="F50" s="1">
        <v>1.0</v>
      </c>
      <c r="G50" s="29">
        <f t="shared" si="17"/>
        <v>45902</v>
      </c>
      <c r="H50" s="1"/>
      <c r="I50" s="18"/>
      <c r="J50" s="1"/>
    </row>
    <row r="51" ht="15.75" customHeight="1">
      <c r="A51" s="43" t="s">
        <v>197</v>
      </c>
      <c r="B51" s="36">
        <f>sum(D52:D59)</f>
        <v>470250</v>
      </c>
      <c r="C51" s="28"/>
      <c r="D51" s="28"/>
      <c r="F51" s="1"/>
      <c r="G51" s="29"/>
      <c r="H51" s="1"/>
      <c r="I51" s="44"/>
      <c r="J51" s="1"/>
    </row>
    <row r="52" ht="15.75" customHeight="1">
      <c r="A52" s="35" t="s">
        <v>198</v>
      </c>
      <c r="B52" s="28" t="s">
        <v>155</v>
      </c>
      <c r="C52" s="28">
        <v>35000.0</v>
      </c>
      <c r="D52" s="28">
        <f t="shared" ref="D52:D59" si="18">(C52*$C$2)+C52</f>
        <v>38500</v>
      </c>
      <c r="E52" s="19">
        <f t="shared" ref="E52:E59" si="19">D52/$B$3</f>
        <v>5.505505506</v>
      </c>
      <c r="F52" s="1">
        <v>7.0</v>
      </c>
      <c r="G52" s="29">
        <f>WORKDAY(G43, F52)</f>
        <v>45875</v>
      </c>
      <c r="H52" s="50"/>
      <c r="I52" s="18"/>
      <c r="J52" s="1"/>
    </row>
    <row r="53" ht="15.75" customHeight="1">
      <c r="A53" s="35" t="s">
        <v>199</v>
      </c>
      <c r="B53" s="52" t="s">
        <v>200</v>
      </c>
      <c r="C53" s="28">
        <v>102000.0</v>
      </c>
      <c r="D53" s="28">
        <f t="shared" si="18"/>
        <v>112200</v>
      </c>
      <c r="E53" s="19">
        <f t="shared" si="19"/>
        <v>16.04461604</v>
      </c>
      <c r="F53" s="1">
        <v>14.0</v>
      </c>
      <c r="G53" s="29">
        <f t="shared" ref="G53:G59" si="20">WORKDAY(G52, F53)</f>
        <v>45895</v>
      </c>
      <c r="H53" s="1"/>
      <c r="I53" s="18">
        <f>sum(D45:D47)+sum(D52:D53)</f>
        <v>262900</v>
      </c>
      <c r="J53" s="1"/>
    </row>
    <row r="54" ht="15.75" customHeight="1">
      <c r="A54" s="35" t="s">
        <v>160</v>
      </c>
      <c r="B54" s="53" t="s">
        <v>64</v>
      </c>
      <c r="C54" s="28">
        <v>115000.0</v>
      </c>
      <c r="D54" s="28">
        <f t="shared" si="18"/>
        <v>126500</v>
      </c>
      <c r="E54" s="19">
        <f t="shared" si="19"/>
        <v>18.08951809</v>
      </c>
      <c r="F54" s="1">
        <v>14.0</v>
      </c>
      <c r="G54" s="29">
        <f t="shared" si="20"/>
        <v>45915</v>
      </c>
      <c r="H54" s="1"/>
      <c r="I54" s="18"/>
      <c r="J54" s="1"/>
    </row>
    <row r="55" ht="15.75" customHeight="1">
      <c r="A55" s="35" t="s">
        <v>201</v>
      </c>
      <c r="B55" s="17" t="s">
        <v>56</v>
      </c>
      <c r="C55" s="28">
        <v>13000.0</v>
      </c>
      <c r="D55" s="28">
        <f t="shared" si="18"/>
        <v>14300</v>
      </c>
      <c r="E55" s="19">
        <f t="shared" si="19"/>
        <v>2.044902045</v>
      </c>
      <c r="F55" s="1">
        <v>2.0</v>
      </c>
      <c r="G55" s="29">
        <f t="shared" si="20"/>
        <v>45917</v>
      </c>
      <c r="I55" s="18"/>
      <c r="J55" s="1"/>
    </row>
    <row r="56" ht="15.75" customHeight="1">
      <c r="A56" s="35" t="s">
        <v>104</v>
      </c>
      <c r="B56" s="17" t="s">
        <v>56</v>
      </c>
      <c r="C56" s="28">
        <v>22500.0</v>
      </c>
      <c r="D56" s="28">
        <f t="shared" si="18"/>
        <v>24750</v>
      </c>
      <c r="E56" s="19">
        <f t="shared" si="19"/>
        <v>3.539253539</v>
      </c>
      <c r="F56" s="1">
        <v>5.0</v>
      </c>
      <c r="G56" s="29">
        <f t="shared" si="20"/>
        <v>45924</v>
      </c>
      <c r="H56" s="1"/>
      <c r="I56" s="18"/>
      <c r="J56" s="1"/>
    </row>
    <row r="57" ht="15.75" customHeight="1">
      <c r="A57" s="35" t="s">
        <v>202</v>
      </c>
      <c r="B57" s="28" t="s">
        <v>71</v>
      </c>
      <c r="C57" s="28">
        <v>60000.0</v>
      </c>
      <c r="D57" s="28">
        <f t="shared" si="18"/>
        <v>66000</v>
      </c>
      <c r="E57" s="19">
        <f t="shared" si="19"/>
        <v>9.438009438</v>
      </c>
      <c r="F57" s="1"/>
      <c r="G57" s="29">
        <f t="shared" si="20"/>
        <v>45924</v>
      </c>
      <c r="H57" s="1"/>
      <c r="J57" s="1"/>
    </row>
    <row r="58" ht="15.75" customHeight="1">
      <c r="A58" s="35" t="s">
        <v>203</v>
      </c>
      <c r="B58" s="28" t="s">
        <v>71</v>
      </c>
      <c r="C58" s="28">
        <v>30000.0</v>
      </c>
      <c r="D58" s="28">
        <f t="shared" si="18"/>
        <v>33000</v>
      </c>
      <c r="E58" s="19">
        <f t="shared" si="19"/>
        <v>4.719004719</v>
      </c>
      <c r="F58" s="1">
        <v>5.0</v>
      </c>
      <c r="G58" s="29">
        <f t="shared" si="20"/>
        <v>45931</v>
      </c>
      <c r="H58" s="1"/>
      <c r="J58" s="1"/>
    </row>
    <row r="59" ht="15.75" customHeight="1">
      <c r="A59" s="35" t="s">
        <v>73</v>
      </c>
      <c r="B59" s="17" t="s">
        <v>159</v>
      </c>
      <c r="C59" s="28">
        <v>50000.0</v>
      </c>
      <c r="D59" s="28">
        <f t="shared" si="18"/>
        <v>55000</v>
      </c>
      <c r="E59" s="19">
        <f t="shared" si="19"/>
        <v>7.865007865</v>
      </c>
      <c r="F59" s="1">
        <v>21.0</v>
      </c>
      <c r="G59" s="29">
        <f t="shared" si="20"/>
        <v>45960</v>
      </c>
      <c r="I59" s="18"/>
      <c r="J59" s="1"/>
    </row>
    <row r="60" ht="15.75" customHeight="1">
      <c r="A60" s="2" t="s">
        <v>204</v>
      </c>
      <c r="B60" s="54">
        <f>sum(D61:D64)</f>
        <v>173250</v>
      </c>
      <c r="C60" s="28"/>
      <c r="D60" s="28"/>
      <c r="F60" s="1"/>
      <c r="G60" s="29"/>
      <c r="H60" s="1"/>
      <c r="I60" s="44"/>
      <c r="J60" s="1"/>
    </row>
    <row r="61" ht="15.75" customHeight="1">
      <c r="A61" s="34" t="s">
        <v>94</v>
      </c>
      <c r="B61" s="1" t="s">
        <v>95</v>
      </c>
      <c r="C61" s="28">
        <v>40000.0</v>
      </c>
      <c r="D61" s="28">
        <f t="shared" ref="D61:D64" si="21">(C61*$C$2)+C61</f>
        <v>44000</v>
      </c>
      <c r="E61" s="19">
        <f t="shared" ref="E61:E64" si="22">D61/$B$3</f>
        <v>6.292006292</v>
      </c>
      <c r="F61" s="1">
        <v>2.0</v>
      </c>
      <c r="G61" s="29">
        <f>WORKDAY(G50, F61)</f>
        <v>45904</v>
      </c>
      <c r="H61" s="1"/>
      <c r="I61" s="18">
        <f>sum(D48:D50)+sum(D54:D57)+D61</f>
        <v>415800</v>
      </c>
      <c r="J61" s="1"/>
    </row>
    <row r="62" ht="15.75" customHeight="1">
      <c r="A62" s="34" t="s">
        <v>205</v>
      </c>
      <c r="B62" s="1" t="s">
        <v>97</v>
      </c>
      <c r="C62" s="28">
        <v>41500.0</v>
      </c>
      <c r="D62" s="28">
        <f t="shared" si="21"/>
        <v>45650</v>
      </c>
      <c r="E62" s="19">
        <f t="shared" si="22"/>
        <v>6.527956528</v>
      </c>
      <c r="F62" s="1">
        <v>28.0</v>
      </c>
      <c r="G62" s="29">
        <f t="shared" ref="G62:G64" si="23">WORKDAY(G61, F62)</f>
        <v>45944</v>
      </c>
      <c r="H62" s="1"/>
      <c r="I62" s="18">
        <f>D58+D62</f>
        <v>78650</v>
      </c>
      <c r="J62" s="1"/>
    </row>
    <row r="63" ht="15.75" customHeight="1">
      <c r="A63" s="34" t="s">
        <v>102</v>
      </c>
      <c r="B63" s="1" t="s">
        <v>103</v>
      </c>
      <c r="C63" s="28">
        <v>23000.0</v>
      </c>
      <c r="D63" s="28">
        <f t="shared" si="21"/>
        <v>25300</v>
      </c>
      <c r="E63" s="19">
        <f t="shared" si="22"/>
        <v>3.617903618</v>
      </c>
      <c r="F63" s="1">
        <v>14.0</v>
      </c>
      <c r="G63" s="29">
        <f t="shared" si="23"/>
        <v>45964</v>
      </c>
      <c r="H63" s="50"/>
      <c r="I63" s="18"/>
      <c r="J63" s="1"/>
    </row>
    <row r="64" ht="15.75" customHeight="1">
      <c r="A64" s="34" t="s">
        <v>123</v>
      </c>
      <c r="B64" s="1" t="s">
        <v>206</v>
      </c>
      <c r="C64" s="28">
        <v>53000.0</v>
      </c>
      <c r="D64" s="28">
        <f t="shared" si="21"/>
        <v>58300</v>
      </c>
      <c r="E64" s="19">
        <f t="shared" si="22"/>
        <v>8.336908337</v>
      </c>
      <c r="F64" s="1"/>
      <c r="G64" s="29">
        <f t="shared" si="23"/>
        <v>45964</v>
      </c>
      <c r="H64" s="1"/>
      <c r="I64" s="18"/>
      <c r="J64" s="1"/>
    </row>
    <row r="65" ht="15.75" customHeight="1">
      <c r="A65" s="2" t="s">
        <v>207</v>
      </c>
      <c r="B65" s="54">
        <f>sum(D66:D76)</f>
        <v>204600</v>
      </c>
      <c r="C65" s="28"/>
      <c r="D65" s="28"/>
      <c r="F65" s="1"/>
      <c r="G65" s="29"/>
      <c r="H65" s="1"/>
      <c r="I65" s="44"/>
      <c r="J65" s="1"/>
    </row>
    <row r="66" ht="15.75" customHeight="1">
      <c r="A66" s="4" t="s">
        <v>117</v>
      </c>
      <c r="B66" s="28" t="s">
        <v>118</v>
      </c>
      <c r="C66" s="28">
        <v>26000.0</v>
      </c>
      <c r="D66" s="28">
        <f t="shared" ref="D66:D76" si="24">(C66*$C$2)+C66</f>
        <v>28600</v>
      </c>
      <c r="E66" s="19">
        <f t="shared" ref="E66:E76" si="25">D66/$B$3</f>
        <v>4.08980409</v>
      </c>
      <c r="F66" s="1">
        <v>3.0</v>
      </c>
      <c r="G66" s="29">
        <f>WORKDAY(G64, F66)</f>
        <v>45967</v>
      </c>
      <c r="H66" s="1"/>
      <c r="I66" s="18"/>
      <c r="J66" s="1"/>
    </row>
    <row r="67" ht="15.75" customHeight="1">
      <c r="A67" s="4" t="s">
        <v>208</v>
      </c>
      <c r="B67" s="28" t="s">
        <v>209</v>
      </c>
      <c r="C67" s="28">
        <v>45000.0</v>
      </c>
      <c r="D67" s="28">
        <f t="shared" si="24"/>
        <v>49500</v>
      </c>
      <c r="E67" s="19">
        <f t="shared" si="25"/>
        <v>7.078507079</v>
      </c>
      <c r="F67" s="1">
        <v>1.0</v>
      </c>
      <c r="G67" s="29">
        <f t="shared" ref="G67:G76" si="26">WORKDAY(G66, F67)</f>
        <v>45968</v>
      </c>
      <c r="H67" s="1"/>
      <c r="I67" s="18"/>
      <c r="J67" s="1"/>
    </row>
    <row r="68" ht="15.75" customHeight="1">
      <c r="A68" s="4" t="s">
        <v>210</v>
      </c>
      <c r="B68" s="28" t="s">
        <v>115</v>
      </c>
      <c r="C68" s="28">
        <v>12000.0</v>
      </c>
      <c r="D68" s="28">
        <f t="shared" si="24"/>
        <v>13200</v>
      </c>
      <c r="E68" s="19">
        <f t="shared" si="25"/>
        <v>1.887601888</v>
      </c>
      <c r="F68" s="1">
        <v>5.0</v>
      </c>
      <c r="G68" s="29">
        <f t="shared" si="26"/>
        <v>45975</v>
      </c>
      <c r="H68" s="1"/>
      <c r="I68" s="18"/>
      <c r="J68" s="44"/>
    </row>
    <row r="69" ht="15.75" customHeight="1">
      <c r="A69" s="51" t="s">
        <v>211</v>
      </c>
      <c r="B69" s="28" t="s">
        <v>53</v>
      </c>
      <c r="C69" s="28">
        <v>28500.0</v>
      </c>
      <c r="D69" s="28">
        <f t="shared" si="24"/>
        <v>31350</v>
      </c>
      <c r="E69" s="19">
        <f t="shared" si="25"/>
        <v>4.483054483</v>
      </c>
      <c r="F69" s="1">
        <v>5.0</v>
      </c>
      <c r="G69" s="29">
        <f t="shared" si="26"/>
        <v>45982</v>
      </c>
      <c r="H69" s="1"/>
      <c r="I69" s="18"/>
      <c r="J69" s="1"/>
    </row>
    <row r="70" ht="15.75" customHeight="1">
      <c r="A70" s="51" t="s">
        <v>212</v>
      </c>
      <c r="B70" s="28" t="s">
        <v>53</v>
      </c>
      <c r="C70" s="28">
        <v>5000.0</v>
      </c>
      <c r="D70" s="28">
        <f t="shared" si="24"/>
        <v>5500</v>
      </c>
      <c r="E70" s="19">
        <f t="shared" si="25"/>
        <v>0.7865007865</v>
      </c>
      <c r="F70" s="1"/>
      <c r="G70" s="29">
        <f t="shared" si="26"/>
        <v>45982</v>
      </c>
      <c r="H70" s="1"/>
      <c r="I70" s="18"/>
      <c r="J70" s="1"/>
    </row>
    <row r="71" ht="15.75" customHeight="1">
      <c r="A71" s="4" t="s">
        <v>213</v>
      </c>
      <c r="B71" s="28" t="s">
        <v>53</v>
      </c>
      <c r="C71" s="28">
        <v>5000.0</v>
      </c>
      <c r="D71" s="28">
        <f t="shared" si="24"/>
        <v>5500</v>
      </c>
      <c r="E71" s="19">
        <f t="shared" si="25"/>
        <v>0.7865007865</v>
      </c>
      <c r="F71" s="1">
        <v>2.0</v>
      </c>
      <c r="G71" s="29">
        <f t="shared" si="26"/>
        <v>45986</v>
      </c>
      <c r="H71" s="1"/>
      <c r="I71" s="18"/>
      <c r="J71" s="1"/>
    </row>
    <row r="72" ht="15.75" customHeight="1">
      <c r="A72" s="4" t="s">
        <v>157</v>
      </c>
      <c r="B72" s="1" t="s">
        <v>158</v>
      </c>
      <c r="C72" s="28">
        <v>17000.0</v>
      </c>
      <c r="D72" s="28">
        <f t="shared" si="24"/>
        <v>18700</v>
      </c>
      <c r="E72" s="19">
        <f t="shared" si="25"/>
        <v>2.674102674</v>
      </c>
      <c r="G72" s="29">
        <f t="shared" si="26"/>
        <v>45986</v>
      </c>
      <c r="H72" s="1"/>
      <c r="I72" s="18"/>
      <c r="J72" s="1"/>
    </row>
    <row r="73" ht="15.75" customHeight="1">
      <c r="A73" s="4" t="s">
        <v>214</v>
      </c>
      <c r="B73" s="28" t="s">
        <v>155</v>
      </c>
      <c r="C73" s="28">
        <v>5000.0</v>
      </c>
      <c r="D73" s="28">
        <f t="shared" si="24"/>
        <v>5500</v>
      </c>
      <c r="E73" s="19">
        <f t="shared" si="25"/>
        <v>0.7865007865</v>
      </c>
      <c r="F73" s="3">
        <v>2.0</v>
      </c>
      <c r="G73" s="29">
        <f t="shared" si="26"/>
        <v>45988</v>
      </c>
      <c r="H73" s="1"/>
      <c r="I73" s="18">
        <f>sum(D63:D73)+D59</f>
        <v>296450</v>
      </c>
      <c r="J73" s="1"/>
    </row>
    <row r="74" ht="15.75" customHeight="1">
      <c r="A74" s="4" t="s">
        <v>215</v>
      </c>
      <c r="B74" s="28" t="s">
        <v>155</v>
      </c>
      <c r="C74" s="28">
        <v>10000.0</v>
      </c>
      <c r="D74" s="28">
        <f t="shared" si="24"/>
        <v>11000</v>
      </c>
      <c r="E74" s="19">
        <f t="shared" si="25"/>
        <v>1.573001573</v>
      </c>
      <c r="F74" s="1">
        <v>2.0</v>
      </c>
      <c r="G74" s="29">
        <f t="shared" si="26"/>
        <v>45992</v>
      </c>
      <c r="H74" s="1"/>
      <c r="I74" s="18"/>
      <c r="J74" s="1"/>
    </row>
    <row r="75" ht="15.75" customHeight="1">
      <c r="A75" s="4" t="s">
        <v>111</v>
      </c>
      <c r="B75" s="28" t="s">
        <v>155</v>
      </c>
      <c r="C75" s="28">
        <v>7500.0</v>
      </c>
      <c r="D75" s="28">
        <f t="shared" si="24"/>
        <v>8250</v>
      </c>
      <c r="E75" s="19">
        <f t="shared" si="25"/>
        <v>1.17975118</v>
      </c>
      <c r="F75" s="1">
        <v>2.0</v>
      </c>
      <c r="G75" s="29">
        <f t="shared" si="26"/>
        <v>45994</v>
      </c>
      <c r="I75" s="18"/>
    </row>
    <row r="76" ht="15.75" customHeight="1">
      <c r="A76" s="4" t="s">
        <v>156</v>
      </c>
      <c r="B76" s="28"/>
      <c r="C76" s="28">
        <v>25000.0</v>
      </c>
      <c r="D76" s="28">
        <f t="shared" si="24"/>
        <v>27500</v>
      </c>
      <c r="E76" s="19">
        <f t="shared" si="25"/>
        <v>3.932503933</v>
      </c>
      <c r="F76" s="1">
        <v>2.0</v>
      </c>
      <c r="G76" s="29">
        <f t="shared" si="26"/>
        <v>45996</v>
      </c>
      <c r="H76" s="1"/>
      <c r="I76" s="18"/>
      <c r="J76" s="1"/>
    </row>
    <row r="77" ht="15.75" customHeight="1">
      <c r="A77" s="2" t="s">
        <v>216</v>
      </c>
      <c r="B77" s="54">
        <f>sum(D78:D87)</f>
        <v>484000</v>
      </c>
      <c r="C77" s="28"/>
      <c r="D77" s="28"/>
      <c r="F77" s="1"/>
      <c r="G77" s="29"/>
      <c r="H77" s="1"/>
      <c r="I77" s="44"/>
      <c r="J77" s="1"/>
    </row>
    <row r="78" ht="15.75" customHeight="1">
      <c r="A78" s="32" t="s">
        <v>191</v>
      </c>
      <c r="B78" s="1"/>
      <c r="C78" s="28">
        <v>21500.0</v>
      </c>
      <c r="D78" s="28">
        <f t="shared" ref="D78:D87" si="27">(C78*$C$2)+C78</f>
        <v>23650</v>
      </c>
      <c r="E78" s="19">
        <f t="shared" ref="E78:E87" si="28">D78/$B$3</f>
        <v>3.381953382</v>
      </c>
      <c r="F78" s="1">
        <v>3.0</v>
      </c>
      <c r="G78" s="29">
        <f>WORKDAY(G76, F78)</f>
        <v>46001</v>
      </c>
      <c r="H78" s="1"/>
      <c r="I78" s="18"/>
      <c r="J78" s="1"/>
    </row>
    <row r="79" ht="15.75" customHeight="1">
      <c r="A79" s="32" t="s">
        <v>192</v>
      </c>
      <c r="B79" s="1" t="s">
        <v>85</v>
      </c>
      <c r="C79" s="28">
        <f>C45</f>
        <v>32000</v>
      </c>
      <c r="D79" s="28">
        <f t="shared" si="27"/>
        <v>35200</v>
      </c>
      <c r="E79" s="19">
        <f t="shared" si="28"/>
        <v>5.033605034</v>
      </c>
      <c r="F79" s="1">
        <v>3.0</v>
      </c>
      <c r="G79" s="29">
        <f t="shared" ref="G79:G87" si="29">WORKDAY(G78, F79)</f>
        <v>46006</v>
      </c>
      <c r="H79" s="1"/>
      <c r="I79" s="18"/>
    </row>
    <row r="80" ht="15.75" customHeight="1">
      <c r="A80" s="32" t="s">
        <v>89</v>
      </c>
      <c r="B80" s="28" t="s">
        <v>155</v>
      </c>
      <c r="C80" s="28">
        <v>45000.0</v>
      </c>
      <c r="D80" s="28">
        <f t="shared" si="27"/>
        <v>49500</v>
      </c>
      <c r="E80" s="19">
        <f t="shared" si="28"/>
        <v>7.078507079</v>
      </c>
      <c r="F80" s="1">
        <v>3.0</v>
      </c>
      <c r="G80" s="29">
        <f t="shared" si="29"/>
        <v>46009</v>
      </c>
      <c r="H80" s="1"/>
      <c r="I80" s="18"/>
      <c r="J80" s="1"/>
    </row>
    <row r="81" ht="15.75" customHeight="1">
      <c r="A81" s="32" t="s">
        <v>133</v>
      </c>
      <c r="B81" s="28" t="s">
        <v>194</v>
      </c>
      <c r="C81" s="28">
        <v>80000.0</v>
      </c>
      <c r="D81" s="28">
        <f t="shared" si="27"/>
        <v>88000</v>
      </c>
      <c r="E81" s="19">
        <f t="shared" si="28"/>
        <v>12.58401258</v>
      </c>
      <c r="F81" s="1">
        <v>5.0</v>
      </c>
      <c r="G81" s="29">
        <f t="shared" si="29"/>
        <v>46016</v>
      </c>
      <c r="H81" s="1"/>
      <c r="I81" s="18">
        <f>sum(D74:D81)</f>
        <v>243100</v>
      </c>
      <c r="J81" s="1"/>
    </row>
    <row r="82" ht="15.75" customHeight="1">
      <c r="A82" s="32" t="s">
        <v>134</v>
      </c>
      <c r="B82" s="1" t="s">
        <v>162</v>
      </c>
      <c r="C82" s="28">
        <v>95000.0</v>
      </c>
      <c r="D82" s="28">
        <f t="shared" si="27"/>
        <v>104500</v>
      </c>
      <c r="E82" s="19">
        <f t="shared" si="28"/>
        <v>14.94351494</v>
      </c>
      <c r="F82" s="1">
        <v>7.0</v>
      </c>
      <c r="G82" s="29">
        <f t="shared" si="29"/>
        <v>46027</v>
      </c>
      <c r="H82" s="1"/>
      <c r="I82" s="18"/>
      <c r="J82" s="1"/>
    </row>
    <row r="83" ht="15.75" customHeight="1">
      <c r="A83" s="32" t="s">
        <v>130</v>
      </c>
      <c r="B83" s="17" t="s">
        <v>217</v>
      </c>
      <c r="C83" s="28">
        <v>48000.0</v>
      </c>
      <c r="D83" s="28">
        <f t="shared" si="27"/>
        <v>52800</v>
      </c>
      <c r="E83" s="19">
        <f t="shared" si="28"/>
        <v>7.55040755</v>
      </c>
      <c r="F83" s="1">
        <v>1.0</v>
      </c>
      <c r="G83" s="29">
        <f t="shared" si="29"/>
        <v>46028</v>
      </c>
      <c r="H83" s="1"/>
      <c r="I83" s="18"/>
      <c r="J83" s="1"/>
    </row>
    <row r="84" ht="15.75" customHeight="1">
      <c r="A84" s="32" t="s">
        <v>66</v>
      </c>
      <c r="B84" s="28" t="s">
        <v>155</v>
      </c>
      <c r="C84" s="28">
        <v>7500.0</v>
      </c>
      <c r="D84" s="28">
        <f t="shared" si="27"/>
        <v>8250</v>
      </c>
      <c r="E84" s="19">
        <f t="shared" si="28"/>
        <v>1.17975118</v>
      </c>
      <c r="F84" s="1">
        <v>2.0</v>
      </c>
      <c r="G84" s="29">
        <f t="shared" si="29"/>
        <v>46030</v>
      </c>
      <c r="H84" s="1"/>
      <c r="I84" s="18"/>
      <c r="J84" s="1"/>
    </row>
    <row r="85" ht="15.75" customHeight="1">
      <c r="A85" s="32" t="s">
        <v>137</v>
      </c>
      <c r="B85" s="1" t="s">
        <v>138</v>
      </c>
      <c r="C85" s="28">
        <f>C17</f>
        <v>46000</v>
      </c>
      <c r="D85" s="28">
        <f t="shared" si="27"/>
        <v>50600</v>
      </c>
      <c r="E85" s="19">
        <f t="shared" si="28"/>
        <v>7.235807236</v>
      </c>
      <c r="F85" s="1">
        <v>5.0</v>
      </c>
      <c r="G85" s="29">
        <f t="shared" si="29"/>
        <v>46037</v>
      </c>
      <c r="H85" s="1"/>
      <c r="I85" s="18"/>
      <c r="J85" s="1"/>
    </row>
    <row r="86" ht="15.75" customHeight="1">
      <c r="A86" s="32" t="s">
        <v>218</v>
      </c>
      <c r="B86" s="28" t="s">
        <v>155</v>
      </c>
      <c r="C86" s="28">
        <v>60000.0</v>
      </c>
      <c r="D86" s="28">
        <f t="shared" si="27"/>
        <v>66000</v>
      </c>
      <c r="E86" s="19">
        <f t="shared" si="28"/>
        <v>9.438009438</v>
      </c>
      <c r="F86" s="1">
        <v>5.0</v>
      </c>
      <c r="G86" s="29">
        <f t="shared" si="29"/>
        <v>46044</v>
      </c>
      <c r="H86" s="1"/>
      <c r="I86" s="18"/>
      <c r="J86" s="1"/>
    </row>
    <row r="87" ht="15.75" customHeight="1">
      <c r="A87" s="32" t="s">
        <v>219</v>
      </c>
      <c r="B87" s="28" t="s">
        <v>155</v>
      </c>
      <c r="C87" s="28">
        <v>5000.0</v>
      </c>
      <c r="D87" s="28">
        <f t="shared" si="27"/>
        <v>5500</v>
      </c>
      <c r="E87" s="19">
        <f t="shared" si="28"/>
        <v>0.7865007865</v>
      </c>
      <c r="F87" s="1">
        <v>3.0</v>
      </c>
      <c r="G87" s="29">
        <f t="shared" si="29"/>
        <v>46049</v>
      </c>
      <c r="H87" s="1"/>
      <c r="I87" s="18">
        <f>sum(D82:D87)</f>
        <v>287650</v>
      </c>
      <c r="J87" s="1"/>
    </row>
    <row r="88" ht="15.75" customHeight="1">
      <c r="A88" s="2" t="s">
        <v>220</v>
      </c>
      <c r="B88" s="54">
        <f>sum(D89:D91)</f>
        <v>58300</v>
      </c>
      <c r="C88" s="28"/>
      <c r="D88" s="28"/>
      <c r="F88" s="1"/>
      <c r="G88" s="3" t="s">
        <v>221</v>
      </c>
      <c r="H88" s="1"/>
      <c r="I88" s="18"/>
      <c r="J88" s="1"/>
    </row>
    <row r="89" ht="15.75" customHeight="1">
      <c r="A89" s="32" t="s">
        <v>91</v>
      </c>
      <c r="B89" s="17" t="s">
        <v>195</v>
      </c>
      <c r="C89" s="28">
        <v>25000.0</v>
      </c>
      <c r="D89" s="28">
        <f t="shared" ref="D89:D91" si="30">(C89*$C$2)+C89</f>
        <v>27500</v>
      </c>
      <c r="E89" s="19">
        <f t="shared" ref="E89:E92" si="31">D89/$B$3</f>
        <v>3.932503933</v>
      </c>
      <c r="F89" s="1">
        <v>4.0</v>
      </c>
      <c r="G89" s="29">
        <f>WORKDAY(G87, F89)</f>
        <v>46055</v>
      </c>
      <c r="H89" s="1"/>
      <c r="I89" s="18">
        <f>D89</f>
        <v>27500</v>
      </c>
      <c r="J89" s="1"/>
    </row>
    <row r="90" ht="15.75" customHeight="1">
      <c r="A90" s="55" t="s">
        <v>220</v>
      </c>
      <c r="B90" s="40" t="s">
        <v>155</v>
      </c>
      <c r="C90" s="28"/>
      <c r="D90" s="28">
        <f t="shared" si="30"/>
        <v>0</v>
      </c>
      <c r="E90" s="19">
        <f t="shared" si="31"/>
        <v>0</v>
      </c>
      <c r="F90" s="1">
        <v>21.0</v>
      </c>
      <c r="G90" s="29">
        <f t="shared" ref="G90:G92" si="32">WORKDAY(G89, F90)</f>
        <v>46084</v>
      </c>
      <c r="H90" s="1"/>
      <c r="I90" s="18"/>
      <c r="J90" s="1"/>
    </row>
    <row r="91" ht="15.75" customHeight="1">
      <c r="A91" s="55" t="s">
        <v>140</v>
      </c>
      <c r="B91" s="1" t="s">
        <v>155</v>
      </c>
      <c r="C91" s="28">
        <v>28000.0</v>
      </c>
      <c r="D91" s="28">
        <f t="shared" si="30"/>
        <v>30800</v>
      </c>
      <c r="E91" s="19">
        <f t="shared" si="31"/>
        <v>4.404404404</v>
      </c>
      <c r="F91" s="1">
        <v>10.0</v>
      </c>
      <c r="G91" s="29">
        <f t="shared" si="32"/>
        <v>46098</v>
      </c>
      <c r="H91" s="1"/>
      <c r="I91" s="18">
        <f>sum(D90:D91)</f>
        <v>30800</v>
      </c>
      <c r="J91" s="1"/>
    </row>
    <row r="92" ht="15.75" customHeight="1">
      <c r="A92" s="3" t="s">
        <v>222</v>
      </c>
      <c r="B92" s="1"/>
      <c r="E92" s="3">
        <f t="shared" si="31"/>
        <v>0</v>
      </c>
      <c r="F92" s="1">
        <v>21.0</v>
      </c>
      <c r="G92" s="29">
        <f t="shared" si="32"/>
        <v>46127</v>
      </c>
      <c r="H92" s="1"/>
      <c r="I92" s="44"/>
      <c r="J92" s="1"/>
    </row>
    <row r="93" ht="15.75" customHeight="1">
      <c r="A93" s="56" t="s">
        <v>223</v>
      </c>
      <c r="B93" s="57"/>
      <c r="C93" s="19"/>
      <c r="D93" s="19"/>
      <c r="F93" s="1"/>
      <c r="G93" s="29">
        <f>G92+F93</f>
        <v>46127</v>
      </c>
      <c r="H93" s="1"/>
      <c r="I93" s="44"/>
      <c r="J93" s="1"/>
    </row>
    <row r="94" ht="15.75" customHeight="1">
      <c r="A94" s="3" t="s">
        <v>125</v>
      </c>
      <c r="B94" s="28" t="s">
        <v>155</v>
      </c>
      <c r="C94" s="19"/>
      <c r="D94" s="19"/>
      <c r="F94" s="1"/>
      <c r="G94" s="1"/>
      <c r="H94" s="1"/>
      <c r="I94" s="44">
        <v>12000.0</v>
      </c>
      <c r="J94" s="1"/>
    </row>
    <row r="95" ht="15.75" customHeight="1">
      <c r="A95" s="3" t="s">
        <v>124</v>
      </c>
      <c r="B95" s="28" t="s">
        <v>155</v>
      </c>
      <c r="C95" s="19"/>
      <c r="D95" s="19"/>
      <c r="F95" s="1"/>
      <c r="G95" s="1"/>
      <c r="H95" s="1"/>
      <c r="I95" s="44">
        <v>7500.0</v>
      </c>
      <c r="J95" s="1"/>
    </row>
    <row r="96" ht="15.75" customHeight="1">
      <c r="B96" s="57"/>
      <c r="C96" s="19"/>
      <c r="D96" s="19"/>
      <c r="F96" s="1"/>
      <c r="G96" s="1"/>
      <c r="H96" s="1"/>
      <c r="I96" s="44"/>
      <c r="J96" s="1"/>
    </row>
    <row r="97" ht="15.75" customHeight="1">
      <c r="B97" s="57"/>
      <c r="C97" s="19"/>
      <c r="D97" s="19"/>
      <c r="F97" s="1"/>
      <c r="G97" s="1"/>
      <c r="H97" s="1"/>
      <c r="I97" s="44"/>
      <c r="J97" s="1"/>
    </row>
    <row r="98" ht="15.75" customHeight="1">
      <c r="B98" s="1"/>
      <c r="C98" s="19"/>
      <c r="D98" s="19"/>
      <c r="F98" s="1"/>
      <c r="G98" s="1"/>
      <c r="H98" s="1"/>
      <c r="I98" s="44"/>
      <c r="J98" s="1"/>
    </row>
    <row r="99" ht="15.75" customHeight="1">
      <c r="B99" s="1"/>
      <c r="C99" s="19"/>
      <c r="D99" s="19"/>
      <c r="F99" s="58"/>
      <c r="I99" s="18"/>
    </row>
    <row r="100" ht="15.75" customHeight="1">
      <c r="B100" s="1"/>
      <c r="C100" s="19"/>
      <c r="D100" s="19"/>
      <c r="F100" s="58"/>
      <c r="I100" s="18"/>
    </row>
    <row r="101" ht="15.75" customHeight="1">
      <c r="B101" s="1"/>
      <c r="C101" s="19"/>
      <c r="D101" s="19"/>
      <c r="I101" s="18"/>
    </row>
    <row r="102" ht="15.75" customHeight="1">
      <c r="B102" s="1"/>
      <c r="C102" s="19"/>
      <c r="D102" s="19"/>
      <c r="I102" s="18"/>
    </row>
    <row r="103" ht="15.75" customHeight="1">
      <c r="B103" s="1"/>
      <c r="C103" s="19"/>
      <c r="D103" s="19"/>
      <c r="I103" s="18"/>
    </row>
    <row r="104" ht="15.75" customHeight="1">
      <c r="B104" s="1"/>
      <c r="C104" s="19"/>
      <c r="D104" s="19"/>
      <c r="I104" s="18"/>
    </row>
    <row r="105" ht="15.75" customHeight="1">
      <c r="B105" s="1"/>
      <c r="C105" s="19"/>
      <c r="D105" s="19"/>
      <c r="I105" s="18"/>
    </row>
    <row r="106" ht="15.75" customHeight="1">
      <c r="B106" s="1"/>
      <c r="C106" s="19"/>
      <c r="D106" s="19"/>
      <c r="I106" s="18"/>
    </row>
    <row r="107" ht="15.75" customHeight="1">
      <c r="B107" s="1"/>
      <c r="C107" s="19"/>
      <c r="D107" s="19"/>
      <c r="I107" s="18"/>
    </row>
    <row r="108" ht="15.75" customHeight="1">
      <c r="B108" s="1"/>
      <c r="C108" s="19"/>
      <c r="D108" s="19"/>
      <c r="I108" s="18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3" t="s">
        <v>224</v>
      </c>
      <c r="B2" s="3" t="s">
        <v>225</v>
      </c>
    </row>
    <row r="3" ht="15.75" customHeight="1">
      <c r="B3" s="3" t="s">
        <v>226</v>
      </c>
    </row>
    <row r="4" ht="15.75" customHeight="1">
      <c r="B4" s="3" t="s">
        <v>227</v>
      </c>
    </row>
    <row r="5" ht="15.75" customHeight="1">
      <c r="B5" s="3" t="s">
        <v>226</v>
      </c>
    </row>
    <row r="6" ht="15.75" customHeight="1">
      <c r="B6" s="3" t="s">
        <v>228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4.0"/>
    <col customWidth="1" min="3" max="3" width="5.63"/>
    <col customWidth="1" min="4" max="4" width="14.13"/>
    <col customWidth="1" min="5" max="5" width="12.63"/>
    <col customWidth="1" min="6" max="6" width="2.13"/>
    <col customWidth="1" min="9" max="9" width="3.88"/>
    <col customWidth="1" min="12" max="12" width="2.25"/>
  </cols>
  <sheetData>
    <row r="1" ht="15.75" customHeight="1">
      <c r="A1" s="59" t="s">
        <v>229</v>
      </c>
      <c r="G1" s="2" t="s">
        <v>230</v>
      </c>
      <c r="M1" s="3" t="s">
        <v>231</v>
      </c>
      <c r="P1" s="3" t="s">
        <v>232</v>
      </c>
      <c r="S1" s="3" t="s">
        <v>233</v>
      </c>
      <c r="V1" s="3" t="s">
        <v>91</v>
      </c>
    </row>
    <row r="2" ht="15.75" customHeight="1">
      <c r="A2" s="2" t="s">
        <v>234</v>
      </c>
      <c r="G2" s="3" t="s">
        <v>235</v>
      </c>
      <c r="H2" s="3">
        <v>2470.0</v>
      </c>
      <c r="I2" s="3">
        <v>11.0</v>
      </c>
      <c r="J2" s="18">
        <f t="shared" ref="J2:J8" si="1">H2*I2</f>
        <v>27170</v>
      </c>
    </row>
    <row r="3" ht="15.75" customHeight="1">
      <c r="A3" s="3" t="s">
        <v>236</v>
      </c>
      <c r="B3" s="3">
        <v>2.0</v>
      </c>
      <c r="C3" s="3">
        <v>300.0</v>
      </c>
      <c r="D3" s="3" t="s">
        <v>237</v>
      </c>
      <c r="G3" s="3" t="s">
        <v>238</v>
      </c>
      <c r="H3" s="3">
        <v>1172.0</v>
      </c>
      <c r="I3" s="3">
        <v>3.0</v>
      </c>
      <c r="J3" s="18">
        <f t="shared" si="1"/>
        <v>3516</v>
      </c>
    </row>
    <row r="4" ht="15.75" customHeight="1">
      <c r="A4" s="3" t="s">
        <v>239</v>
      </c>
      <c r="C4" s="3">
        <v>120.0</v>
      </c>
      <c r="D4" s="3" t="s">
        <v>240</v>
      </c>
      <c r="G4" s="3" t="s">
        <v>241</v>
      </c>
      <c r="H4" s="3">
        <v>2636.0</v>
      </c>
      <c r="I4" s="3">
        <v>9.0</v>
      </c>
      <c r="J4" s="18">
        <f t="shared" si="1"/>
        <v>23724</v>
      </c>
    </row>
    <row r="5" ht="15.75" customHeight="1">
      <c r="A5" s="3" t="s">
        <v>239</v>
      </c>
      <c r="C5" s="3">
        <v>120.0</v>
      </c>
      <c r="D5" s="3" t="s">
        <v>242</v>
      </c>
      <c r="G5" s="3" t="s">
        <v>243</v>
      </c>
      <c r="H5" s="3">
        <v>950.0</v>
      </c>
      <c r="I5" s="3">
        <v>3.0</v>
      </c>
      <c r="J5" s="18">
        <f t="shared" si="1"/>
        <v>2850</v>
      </c>
    </row>
    <row r="6" ht="15.75" customHeight="1">
      <c r="A6" s="3" t="s">
        <v>239</v>
      </c>
      <c r="C6" s="3">
        <v>120.0</v>
      </c>
      <c r="D6" s="3" t="s">
        <v>244</v>
      </c>
      <c r="G6" s="3" t="s">
        <v>245</v>
      </c>
      <c r="H6" s="3">
        <v>783.0</v>
      </c>
      <c r="I6" s="3">
        <v>9.0</v>
      </c>
      <c r="J6" s="18">
        <f t="shared" si="1"/>
        <v>7047</v>
      </c>
    </row>
    <row r="7" ht="15.75" customHeight="1">
      <c r="A7" s="3" t="s">
        <v>239</v>
      </c>
      <c r="C7" s="3">
        <v>120.0</v>
      </c>
      <c r="D7" s="3" t="s">
        <v>240</v>
      </c>
      <c r="G7" s="3" t="s">
        <v>22</v>
      </c>
      <c r="H7" s="3">
        <v>755.0</v>
      </c>
      <c r="I7" s="3">
        <v>20.0</v>
      </c>
      <c r="J7" s="18">
        <f t="shared" si="1"/>
        <v>15100</v>
      </c>
    </row>
    <row r="8" ht="15.75" customHeight="1">
      <c r="A8" s="3" t="s">
        <v>239</v>
      </c>
      <c r="C8" s="3">
        <v>240.0</v>
      </c>
      <c r="D8" s="3" t="s">
        <v>246</v>
      </c>
      <c r="G8" s="3" t="s">
        <v>247</v>
      </c>
      <c r="H8" s="3">
        <v>600.0</v>
      </c>
      <c r="I8" s="3">
        <v>20.0</v>
      </c>
      <c r="J8" s="18">
        <f t="shared" si="1"/>
        <v>12000</v>
      </c>
    </row>
    <row r="9" ht="15.75" customHeight="1">
      <c r="A9" s="3" t="s">
        <v>248</v>
      </c>
      <c r="C9" s="3">
        <v>319.0</v>
      </c>
      <c r="E9" s="3" t="s">
        <v>249</v>
      </c>
    </row>
    <row r="10" ht="15.75" customHeight="1">
      <c r="A10" s="2" t="s">
        <v>250</v>
      </c>
      <c r="G10" s="3" t="s">
        <v>167</v>
      </c>
      <c r="J10" s="18">
        <f>SUM(J2:J8)</f>
        <v>91407</v>
      </c>
    </row>
    <row r="11" ht="15.75" customHeight="1">
      <c r="A11" s="3" t="s">
        <v>251</v>
      </c>
      <c r="B11" s="3">
        <v>2.0</v>
      </c>
      <c r="C11" s="3">
        <v>900.0</v>
      </c>
      <c r="D11" s="3" t="s">
        <v>237</v>
      </c>
    </row>
    <row r="12" ht="15.75" customHeight="1">
      <c r="A12" s="3" t="s">
        <v>252</v>
      </c>
      <c r="C12" s="3">
        <v>50.0</v>
      </c>
      <c r="D12" s="3" t="s">
        <v>240</v>
      </c>
      <c r="G12" s="3" t="s">
        <v>253</v>
      </c>
      <c r="H12" s="3">
        <f>H3+H4+H6</f>
        <v>4591</v>
      </c>
      <c r="I12" s="3">
        <v>6.0</v>
      </c>
      <c r="J12" s="18">
        <f t="shared" ref="J12:J14" si="2">H12*I12</f>
        <v>27546</v>
      </c>
    </row>
    <row r="13" ht="15.75" customHeight="1">
      <c r="A13" s="3" t="s">
        <v>252</v>
      </c>
      <c r="C13" s="3">
        <v>50.0</v>
      </c>
      <c r="D13" s="3" t="s">
        <v>242</v>
      </c>
      <c r="G13" s="3" t="s">
        <v>254</v>
      </c>
      <c r="H13" s="3">
        <f>H7+H8</f>
        <v>1355</v>
      </c>
      <c r="I13" s="3">
        <v>16.0</v>
      </c>
      <c r="J13" s="18">
        <f t="shared" si="2"/>
        <v>21680</v>
      </c>
    </row>
    <row r="14" ht="15.75" customHeight="1">
      <c r="A14" s="3" t="s">
        <v>252</v>
      </c>
      <c r="C14" s="3">
        <v>50.0</v>
      </c>
      <c r="D14" s="3" t="s">
        <v>244</v>
      </c>
      <c r="G14" s="3" t="s">
        <v>243</v>
      </c>
      <c r="H14" s="3">
        <f>H5</f>
        <v>950</v>
      </c>
      <c r="I14" s="3">
        <v>3.0</v>
      </c>
      <c r="J14" s="18">
        <f t="shared" si="2"/>
        <v>2850</v>
      </c>
    </row>
    <row r="15" ht="15.75" customHeight="1">
      <c r="A15" s="3" t="s">
        <v>252</v>
      </c>
      <c r="C15" s="3">
        <v>50.0</v>
      </c>
      <c r="D15" s="3" t="s">
        <v>240</v>
      </c>
    </row>
    <row r="16" ht="15.75" customHeight="1">
      <c r="A16" s="3" t="s">
        <v>252</v>
      </c>
      <c r="C16" s="3">
        <v>100.0</v>
      </c>
      <c r="D16" s="3" t="s">
        <v>246</v>
      </c>
      <c r="G16" s="3" t="s">
        <v>255</v>
      </c>
      <c r="J16" s="18">
        <f>sum(J12:J14)</f>
        <v>52076</v>
      </c>
    </row>
    <row r="17" ht="15.75" customHeight="1">
      <c r="A17" s="3" t="s">
        <v>256</v>
      </c>
      <c r="C17" s="3">
        <v>140.0</v>
      </c>
      <c r="D17" s="3" t="s">
        <v>257</v>
      </c>
    </row>
    <row r="18" ht="15.75" customHeight="1">
      <c r="A18" s="2" t="s">
        <v>258</v>
      </c>
    </row>
    <row r="19" ht="15.75" customHeight="1">
      <c r="A19" s="3" t="s">
        <v>259</v>
      </c>
      <c r="B19" s="3">
        <v>6.0</v>
      </c>
      <c r="C19" s="3">
        <v>6000.0</v>
      </c>
    </row>
    <row r="20" ht="15.75" customHeight="1">
      <c r="A20" s="2" t="s">
        <v>260</v>
      </c>
    </row>
    <row r="21" ht="15.75" customHeight="1">
      <c r="A21" s="3" t="s">
        <v>261</v>
      </c>
      <c r="B21" s="3">
        <v>3.0</v>
      </c>
      <c r="C21" s="3">
        <v>3000.0</v>
      </c>
    </row>
    <row r="22" ht="15.75" customHeight="1">
      <c r="A22" s="3" t="s">
        <v>262</v>
      </c>
      <c r="C22" s="3">
        <v>3500.0</v>
      </c>
    </row>
    <row r="23" ht="15.75" customHeight="1">
      <c r="A23" s="3" t="s">
        <v>263</v>
      </c>
      <c r="C23" s="3">
        <v>1000.0</v>
      </c>
    </row>
    <row r="24" ht="15.75" customHeight="1">
      <c r="A24" s="2" t="s">
        <v>264</v>
      </c>
    </row>
    <row r="25" ht="15.75" customHeight="1">
      <c r="A25" s="3" t="s">
        <v>265</v>
      </c>
      <c r="B25" s="3">
        <v>3.0</v>
      </c>
      <c r="C25" s="3">
        <v>375.0</v>
      </c>
    </row>
    <row r="26" ht="15.75" customHeight="1">
      <c r="A26" s="3" t="s">
        <v>167</v>
      </c>
      <c r="C26" s="3">
        <f>sum(C3:C25)</f>
        <v>16554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A2" s="3" t="s">
        <v>237</v>
      </c>
    </row>
    <row r="3" ht="15.75" customHeight="1">
      <c r="A3" s="60" t="s">
        <v>266</v>
      </c>
      <c r="B3" s="61" t="s">
        <v>267</v>
      </c>
    </row>
    <row r="4" ht="15.75" customHeight="1">
      <c r="A4" s="60" t="s">
        <v>268</v>
      </c>
      <c r="B4" s="61" t="s">
        <v>269</v>
      </c>
    </row>
    <row r="5" ht="15.75" customHeight="1">
      <c r="A5" s="60" t="s">
        <v>270</v>
      </c>
      <c r="B5" s="61" t="s">
        <v>271</v>
      </c>
    </row>
    <row r="6" ht="15.75" customHeight="1">
      <c r="A6" s="60" t="s">
        <v>272</v>
      </c>
      <c r="B6" s="61" t="s">
        <v>273</v>
      </c>
    </row>
    <row r="7" ht="15.75" customHeight="1">
      <c r="A7" s="60" t="s">
        <v>274</v>
      </c>
      <c r="B7" s="61" t="s">
        <v>275</v>
      </c>
    </row>
    <row r="8" ht="15.75" customHeight="1">
      <c r="A8" s="60" t="s">
        <v>276</v>
      </c>
      <c r="B8" s="61" t="s">
        <v>277</v>
      </c>
    </row>
    <row r="9" ht="15.75" customHeight="1">
      <c r="A9" s="60" t="s">
        <v>278</v>
      </c>
      <c r="B9" s="61" t="s">
        <v>279</v>
      </c>
    </row>
    <row r="10" ht="15.75" customHeight="1">
      <c r="A10" s="60" t="s">
        <v>280</v>
      </c>
      <c r="B10" s="61" t="s">
        <v>281</v>
      </c>
    </row>
    <row r="11" ht="15.75" customHeight="1">
      <c r="A11" s="60" t="s">
        <v>282</v>
      </c>
      <c r="B11" s="61" t="s">
        <v>283</v>
      </c>
    </row>
    <row r="12" ht="15.75" customHeight="1">
      <c r="A12" s="60" t="s">
        <v>284</v>
      </c>
      <c r="B12" s="61" t="s">
        <v>285</v>
      </c>
    </row>
    <row r="13" ht="15.75" customHeight="1"/>
    <row r="14" ht="15.75" customHeight="1">
      <c r="A14" s="3" t="s">
        <v>240</v>
      </c>
    </row>
    <row r="15" ht="15.75" customHeight="1">
      <c r="A15" s="3" t="s">
        <v>286</v>
      </c>
      <c r="B15" s="62" t="s">
        <v>287</v>
      </c>
    </row>
    <row r="16" ht="15.75" customHeight="1">
      <c r="A16" s="3" t="s">
        <v>288</v>
      </c>
      <c r="B16" s="3" t="s">
        <v>289</v>
      </c>
    </row>
    <row r="17" ht="15.75" customHeight="1"/>
    <row r="18" ht="15.75" customHeight="1"/>
    <row r="19" ht="15.75" customHeight="1">
      <c r="A19" s="3" t="s">
        <v>290</v>
      </c>
      <c r="B19" s="3" t="s">
        <v>289</v>
      </c>
    </row>
    <row r="20" ht="15.75" customHeight="1">
      <c r="A20" s="3" t="s">
        <v>291</v>
      </c>
      <c r="B20" s="3" t="s">
        <v>289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5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23.0"/>
    <col customWidth="1" min="3" max="3" width="19.5"/>
    <col customWidth="1" min="4" max="4" width="12.88"/>
    <col customWidth="1" min="5" max="5" width="34.63"/>
    <col customWidth="1" min="6" max="6" width="17.88"/>
    <col customWidth="1" min="7" max="7" width="10.13"/>
    <col customWidth="1" min="8" max="8" width="13.25"/>
    <col customWidth="1" min="9" max="9" width="17.13"/>
    <col customWidth="1" min="10" max="10" width="13.25"/>
    <col customWidth="1" min="11" max="11" width="15.5"/>
    <col customWidth="1" min="12" max="12" width="26.0"/>
    <col customWidth="1" min="13" max="13" width="7.13"/>
    <col customWidth="1" min="14" max="14" width="25.25"/>
    <col customWidth="1" min="15" max="15" width="20.75"/>
    <col customWidth="1" min="16" max="16" width="17.0"/>
    <col customWidth="1" min="17" max="17" width="14.5"/>
    <col customWidth="1" min="18" max="18" width="18.75"/>
    <col customWidth="1" min="19" max="19" width="19.75"/>
    <col customWidth="1" min="20" max="20" width="17.63"/>
  </cols>
  <sheetData>
    <row r="1" ht="15.75" customHeight="1">
      <c r="A1" s="63" t="s">
        <v>292</v>
      </c>
      <c r="B1" s="64" t="s">
        <v>293</v>
      </c>
      <c r="C1" s="64" t="s">
        <v>294</v>
      </c>
      <c r="D1" s="64" t="s">
        <v>295</v>
      </c>
      <c r="E1" s="64" t="s">
        <v>296</v>
      </c>
      <c r="F1" s="64" t="s">
        <v>297</v>
      </c>
      <c r="G1" s="65"/>
      <c r="H1" s="66"/>
      <c r="I1" s="66"/>
      <c r="J1" s="66"/>
      <c r="K1" s="67" t="s">
        <v>298</v>
      </c>
      <c r="L1" s="66"/>
    </row>
    <row r="2" ht="15.75" customHeight="1">
      <c r="A2" s="65" t="s">
        <v>299</v>
      </c>
      <c r="B2" s="65">
        <v>239.0</v>
      </c>
      <c r="C2" s="65">
        <v>298.8</v>
      </c>
      <c r="D2" s="65" t="s">
        <v>300</v>
      </c>
      <c r="E2" s="65" t="s">
        <v>301</v>
      </c>
      <c r="F2" s="65" t="s">
        <v>302</v>
      </c>
      <c r="H2" s="66"/>
      <c r="I2" s="66"/>
      <c r="J2" s="66"/>
      <c r="K2" s="66"/>
      <c r="L2" s="66"/>
    </row>
    <row r="3" ht="15.75" customHeight="1">
      <c r="A3" s="65" t="s">
        <v>303</v>
      </c>
      <c r="B3" s="65">
        <v>250.5</v>
      </c>
      <c r="C3" s="65">
        <v>313.1</v>
      </c>
      <c r="D3" s="65" t="s">
        <v>300</v>
      </c>
      <c r="E3" s="65" t="s">
        <v>301</v>
      </c>
      <c r="F3" s="65" t="s">
        <v>302</v>
      </c>
      <c r="H3" s="66"/>
      <c r="I3" s="66"/>
      <c r="J3" s="66"/>
      <c r="K3" s="66"/>
      <c r="L3" s="66"/>
    </row>
    <row r="4" ht="15.75" customHeight="1">
      <c r="A4" s="65" t="s">
        <v>304</v>
      </c>
      <c r="B4" s="65">
        <v>179.3</v>
      </c>
      <c r="C4" s="65">
        <v>224.1</v>
      </c>
      <c r="D4" s="65" t="s">
        <v>305</v>
      </c>
      <c r="E4" s="65" t="s">
        <v>306</v>
      </c>
      <c r="F4" s="65" t="s">
        <v>307</v>
      </c>
      <c r="H4" s="66"/>
      <c r="I4" s="66"/>
      <c r="J4" s="66"/>
      <c r="K4" s="66"/>
      <c r="L4" s="66"/>
    </row>
    <row r="5" ht="15.75" customHeight="1">
      <c r="A5" s="65" t="s">
        <v>308</v>
      </c>
      <c r="B5" s="65">
        <v>668.8</v>
      </c>
      <c r="C5" s="65">
        <v>836.0</v>
      </c>
      <c r="D5" s="65" t="s">
        <v>309</v>
      </c>
      <c r="E5" s="65" t="s">
        <v>310</v>
      </c>
      <c r="F5" s="65" t="s">
        <v>311</v>
      </c>
      <c r="H5" s="66"/>
      <c r="I5" s="66"/>
      <c r="J5" s="66"/>
      <c r="K5" s="66"/>
      <c r="L5" s="66"/>
    </row>
    <row r="6" ht="15.75" customHeight="1">
      <c r="A6" s="67"/>
      <c r="B6" s="67"/>
      <c r="C6" s="67"/>
      <c r="D6" s="66"/>
      <c r="E6" s="67"/>
      <c r="F6" s="66"/>
      <c r="G6" s="68"/>
      <c r="H6" s="66"/>
      <c r="I6" s="66"/>
      <c r="J6" s="66"/>
      <c r="K6" s="66"/>
      <c r="L6" s="66"/>
    </row>
    <row r="7" ht="15.75" customHeight="1">
      <c r="A7" s="67"/>
      <c r="B7" s="67"/>
      <c r="C7" s="67"/>
      <c r="D7" s="66"/>
      <c r="E7" s="67"/>
      <c r="F7" s="66"/>
      <c r="G7" s="68"/>
      <c r="H7" s="66"/>
      <c r="I7" s="66"/>
      <c r="J7" s="66"/>
      <c r="K7" s="66"/>
      <c r="L7" s="66"/>
    </row>
    <row r="8" ht="15.75" customHeight="1">
      <c r="A8" s="67"/>
      <c r="B8" s="67"/>
      <c r="C8" s="67"/>
      <c r="D8" s="66"/>
      <c r="E8" s="67"/>
      <c r="F8" s="66"/>
      <c r="G8" s="68"/>
      <c r="H8" s="66"/>
      <c r="I8" s="66"/>
      <c r="J8" s="66"/>
      <c r="K8" s="66"/>
      <c r="L8" s="66"/>
    </row>
    <row r="9" ht="15.75" customHeight="1">
      <c r="A9" s="67" t="s">
        <v>312</v>
      </c>
      <c r="D9" s="66"/>
      <c r="E9" s="67"/>
      <c r="F9" s="66"/>
      <c r="G9" s="68"/>
      <c r="H9" s="66"/>
      <c r="I9" s="66"/>
      <c r="J9" s="66"/>
      <c r="K9" s="66"/>
      <c r="L9" s="66"/>
    </row>
    <row r="10" ht="15.75" customHeight="1">
      <c r="A10" s="69" t="s">
        <v>313</v>
      </c>
      <c r="B10" s="69" t="s">
        <v>314</v>
      </c>
      <c r="C10" s="69" t="s">
        <v>315</v>
      </c>
      <c r="D10" s="70" t="s">
        <v>316</v>
      </c>
      <c r="E10" s="71" t="s">
        <v>317</v>
      </c>
      <c r="F10" s="69" t="s">
        <v>318</v>
      </c>
      <c r="G10" s="70" t="s">
        <v>319</v>
      </c>
      <c r="H10" s="71" t="s">
        <v>320</v>
      </c>
      <c r="I10" s="72"/>
      <c r="J10" s="66"/>
      <c r="K10" s="66"/>
      <c r="L10" s="66"/>
    </row>
    <row r="11" ht="15.75" customHeight="1">
      <c r="A11" s="66" t="s">
        <v>167</v>
      </c>
      <c r="B11" s="66"/>
      <c r="C11" s="66"/>
      <c r="D11" s="73">
        <f>sum(D12:D53)</f>
        <v>3228.9</v>
      </c>
      <c r="E11" s="73">
        <f>sum(E12:E32)</f>
        <v>127.3375</v>
      </c>
      <c r="F11" s="66"/>
      <c r="G11" s="66"/>
      <c r="H11" s="73">
        <f>sum(H12:H32)</f>
        <v>127.335</v>
      </c>
      <c r="I11" s="66"/>
      <c r="J11" s="66"/>
      <c r="K11" s="66"/>
      <c r="L11" s="66"/>
    </row>
    <row r="12" ht="15.75" customHeight="1">
      <c r="A12" s="66" t="s">
        <v>321</v>
      </c>
      <c r="B12" s="66" t="s">
        <v>322</v>
      </c>
      <c r="C12" s="66"/>
      <c r="D12" s="74">
        <v>160.02</v>
      </c>
      <c r="E12" s="74">
        <f t="shared" ref="E12:E32" si="1">D12/24</f>
        <v>6.6675</v>
      </c>
      <c r="F12" s="66" t="s">
        <v>323</v>
      </c>
      <c r="G12" s="66" t="s">
        <v>324</v>
      </c>
      <c r="H12" s="66">
        <v>6.67</v>
      </c>
      <c r="I12" s="66" t="s">
        <v>325</v>
      </c>
      <c r="J12" s="66" t="s">
        <v>326</v>
      </c>
      <c r="K12" s="66"/>
      <c r="L12" s="66"/>
    </row>
    <row r="13" ht="15.75" customHeight="1">
      <c r="A13" s="66" t="s">
        <v>327</v>
      </c>
      <c r="B13" s="66" t="s">
        <v>328</v>
      </c>
      <c r="C13" s="66"/>
      <c r="D13" s="74">
        <v>297.18</v>
      </c>
      <c r="E13" s="74">
        <f t="shared" si="1"/>
        <v>12.3825</v>
      </c>
      <c r="F13" s="66" t="s">
        <v>329</v>
      </c>
      <c r="G13" s="66" t="s">
        <v>330</v>
      </c>
      <c r="H13" s="66">
        <v>12.38</v>
      </c>
      <c r="I13" s="66" t="s">
        <v>325</v>
      </c>
      <c r="J13" s="66" t="s">
        <v>326</v>
      </c>
      <c r="K13" s="66"/>
      <c r="L13" s="66"/>
    </row>
    <row r="14" ht="15.75" customHeight="1">
      <c r="A14" s="66" t="s">
        <v>331</v>
      </c>
      <c r="B14" s="66" t="s">
        <v>332</v>
      </c>
      <c r="C14" s="66"/>
      <c r="D14" s="74">
        <v>228.6</v>
      </c>
      <c r="E14" s="74">
        <f t="shared" si="1"/>
        <v>9.525</v>
      </c>
      <c r="F14" s="66" t="s">
        <v>333</v>
      </c>
      <c r="G14" s="66" t="s">
        <v>334</v>
      </c>
      <c r="H14" s="66">
        <v>9.53</v>
      </c>
      <c r="I14" s="66" t="s">
        <v>325</v>
      </c>
      <c r="J14" s="66" t="s">
        <v>326</v>
      </c>
      <c r="K14" s="66"/>
      <c r="L14" s="66"/>
    </row>
    <row r="15" ht="15.75" customHeight="1">
      <c r="A15" s="66" t="s">
        <v>335</v>
      </c>
      <c r="B15" s="66" t="s">
        <v>336</v>
      </c>
      <c r="C15" s="66"/>
      <c r="D15" s="74">
        <v>388.62</v>
      </c>
      <c r="E15" s="74">
        <f t="shared" si="1"/>
        <v>16.1925</v>
      </c>
      <c r="F15" s="66" t="s">
        <v>329</v>
      </c>
      <c r="G15" s="66" t="s">
        <v>337</v>
      </c>
      <c r="H15" s="66">
        <v>16.19</v>
      </c>
      <c r="I15" s="66" t="s">
        <v>325</v>
      </c>
      <c r="J15" s="66" t="s">
        <v>326</v>
      </c>
      <c r="K15" s="66"/>
      <c r="L15" s="66"/>
    </row>
    <row r="16" ht="15.75" customHeight="1">
      <c r="A16" s="66" t="s">
        <v>338</v>
      </c>
      <c r="B16" s="66" t="s">
        <v>339</v>
      </c>
      <c r="C16" s="66"/>
      <c r="D16" s="74">
        <v>274.32</v>
      </c>
      <c r="E16" s="74">
        <f t="shared" si="1"/>
        <v>11.43</v>
      </c>
      <c r="F16" s="66" t="s">
        <v>333</v>
      </c>
      <c r="G16" s="66" t="s">
        <v>330</v>
      </c>
      <c r="H16" s="66">
        <v>11.43</v>
      </c>
      <c r="I16" s="66" t="s">
        <v>325</v>
      </c>
      <c r="J16" s="66" t="s">
        <v>326</v>
      </c>
      <c r="K16" s="66"/>
      <c r="L16" s="66"/>
    </row>
    <row r="17" ht="15.75" customHeight="1">
      <c r="A17" s="66" t="s">
        <v>340</v>
      </c>
      <c r="B17" s="66" t="s">
        <v>341</v>
      </c>
      <c r="C17" s="66"/>
      <c r="D17" s="74">
        <v>320.04</v>
      </c>
      <c r="E17" s="74">
        <f t="shared" si="1"/>
        <v>13.335</v>
      </c>
      <c r="F17" s="66" t="s">
        <v>329</v>
      </c>
      <c r="G17" s="66" t="s">
        <v>330</v>
      </c>
      <c r="H17" s="66">
        <v>13.33</v>
      </c>
      <c r="I17" s="66" t="s">
        <v>325</v>
      </c>
      <c r="J17" s="66" t="s">
        <v>326</v>
      </c>
      <c r="K17" s="66"/>
      <c r="L17" s="66"/>
    </row>
    <row r="18" ht="15.75" customHeight="1">
      <c r="A18" s="66" t="s">
        <v>342</v>
      </c>
      <c r="B18" s="66" t="s">
        <v>343</v>
      </c>
      <c r="C18" s="66"/>
      <c r="D18" s="74">
        <v>274.32</v>
      </c>
      <c r="E18" s="74">
        <f t="shared" si="1"/>
        <v>11.43</v>
      </c>
      <c r="F18" s="66" t="s">
        <v>333</v>
      </c>
      <c r="G18" s="66" t="s">
        <v>330</v>
      </c>
      <c r="H18" s="66">
        <v>11.43</v>
      </c>
      <c r="I18" s="66" t="s">
        <v>325</v>
      </c>
      <c r="J18" s="66" t="s">
        <v>326</v>
      </c>
      <c r="K18" s="66"/>
      <c r="L18" s="66"/>
    </row>
    <row r="19" ht="15.75" customHeight="1">
      <c r="A19" s="66" t="s">
        <v>344</v>
      </c>
      <c r="B19" s="66" t="s">
        <v>345</v>
      </c>
      <c r="C19" s="66" t="s">
        <v>346</v>
      </c>
      <c r="D19" s="74">
        <v>168.0</v>
      </c>
      <c r="E19" s="74">
        <f t="shared" si="1"/>
        <v>7</v>
      </c>
      <c r="F19" s="66" t="s">
        <v>333</v>
      </c>
      <c r="G19" s="66" t="s">
        <v>330</v>
      </c>
      <c r="H19" s="66">
        <f t="shared" ref="H19:H21" si="2">D19/24</f>
        <v>7</v>
      </c>
      <c r="I19" s="66" t="s">
        <v>325</v>
      </c>
      <c r="J19" s="66" t="s">
        <v>326</v>
      </c>
      <c r="K19" s="66"/>
      <c r="L19" s="66"/>
    </row>
    <row r="20" ht="15.75" customHeight="1">
      <c r="A20" s="66" t="s">
        <v>321</v>
      </c>
      <c r="B20" s="66" t="s">
        <v>347</v>
      </c>
      <c r="C20" s="66" t="s">
        <v>348</v>
      </c>
      <c r="D20" s="74">
        <v>72.0</v>
      </c>
      <c r="E20" s="74">
        <f t="shared" si="1"/>
        <v>3</v>
      </c>
      <c r="F20" s="66" t="s">
        <v>349</v>
      </c>
      <c r="G20" s="66" t="s">
        <v>324</v>
      </c>
      <c r="H20" s="66">
        <f t="shared" si="2"/>
        <v>3</v>
      </c>
      <c r="I20" s="66" t="s">
        <v>325</v>
      </c>
      <c r="J20" s="66" t="s">
        <v>326</v>
      </c>
      <c r="K20" s="66"/>
      <c r="L20" s="66"/>
    </row>
    <row r="21" ht="15.75" customHeight="1">
      <c r="A21" s="66" t="s">
        <v>350</v>
      </c>
      <c r="B21" s="66" t="s">
        <v>351</v>
      </c>
      <c r="C21" s="66" t="s">
        <v>244</v>
      </c>
      <c r="D21" s="74">
        <v>360.0</v>
      </c>
      <c r="E21" s="74">
        <f t="shared" si="1"/>
        <v>15</v>
      </c>
      <c r="F21" s="66" t="s">
        <v>329</v>
      </c>
      <c r="G21" s="66" t="s">
        <v>330</v>
      </c>
      <c r="H21" s="66">
        <f t="shared" si="2"/>
        <v>15</v>
      </c>
      <c r="I21" s="66" t="s">
        <v>325</v>
      </c>
      <c r="J21" s="66" t="s">
        <v>326</v>
      </c>
      <c r="K21" s="66"/>
      <c r="L21" s="66"/>
    </row>
    <row r="22" ht="15.75" customHeight="1">
      <c r="A22" s="66" t="s">
        <v>352</v>
      </c>
      <c r="B22" s="66" t="s">
        <v>353</v>
      </c>
      <c r="C22" s="66" t="s">
        <v>354</v>
      </c>
      <c r="D22" s="74">
        <v>36.0</v>
      </c>
      <c r="E22" s="74">
        <f t="shared" si="1"/>
        <v>1.5</v>
      </c>
      <c r="F22" s="66" t="s">
        <v>355</v>
      </c>
      <c r="G22" s="66" t="s">
        <v>330</v>
      </c>
      <c r="H22" s="66">
        <f>sum(D22:D29)/24</f>
        <v>12</v>
      </c>
      <c r="I22" s="66" t="s">
        <v>356</v>
      </c>
      <c r="J22" s="66"/>
      <c r="L22" s="66"/>
    </row>
    <row r="23" ht="15.75" customHeight="1">
      <c r="A23" s="66"/>
      <c r="B23" s="66" t="s">
        <v>357</v>
      </c>
      <c r="C23" s="66" t="s">
        <v>358</v>
      </c>
      <c r="D23" s="74">
        <v>18.0</v>
      </c>
      <c r="E23" s="74">
        <f t="shared" si="1"/>
        <v>0.75</v>
      </c>
      <c r="F23" s="66" t="s">
        <v>359</v>
      </c>
      <c r="G23" s="66"/>
      <c r="H23" s="66"/>
      <c r="I23" s="66" t="s">
        <v>356</v>
      </c>
      <c r="J23" s="66"/>
      <c r="K23" s="66"/>
      <c r="L23" s="66"/>
    </row>
    <row r="24" ht="15.75" customHeight="1">
      <c r="A24" s="66"/>
      <c r="B24" s="66" t="s">
        <v>360</v>
      </c>
      <c r="C24" s="66" t="s">
        <v>361</v>
      </c>
      <c r="D24" s="74">
        <v>36.0</v>
      </c>
      <c r="E24" s="74">
        <f t="shared" si="1"/>
        <v>1.5</v>
      </c>
      <c r="F24" s="66" t="s">
        <v>359</v>
      </c>
      <c r="G24" s="66"/>
      <c r="H24" s="66"/>
      <c r="I24" s="66" t="s">
        <v>362</v>
      </c>
      <c r="J24" s="66" t="s">
        <v>326</v>
      </c>
      <c r="K24" s="66"/>
      <c r="L24" s="66"/>
    </row>
    <row r="25" ht="15.75" customHeight="1">
      <c r="A25" s="66"/>
      <c r="B25" s="66" t="s">
        <v>363</v>
      </c>
      <c r="C25" s="66" t="s">
        <v>82</v>
      </c>
      <c r="D25" s="74">
        <v>18.0</v>
      </c>
      <c r="E25" s="74">
        <f t="shared" si="1"/>
        <v>0.75</v>
      </c>
      <c r="F25" s="66" t="s">
        <v>359</v>
      </c>
      <c r="G25" s="66"/>
      <c r="H25" s="66"/>
      <c r="I25" s="66" t="s">
        <v>356</v>
      </c>
      <c r="J25" s="66"/>
      <c r="K25" s="66"/>
      <c r="L25" s="66"/>
    </row>
    <row r="26" ht="15.75" customHeight="1">
      <c r="A26" s="66"/>
      <c r="B26" s="66" t="s">
        <v>364</v>
      </c>
      <c r="C26" s="66" t="s">
        <v>365</v>
      </c>
      <c r="D26" s="74">
        <v>18.0</v>
      </c>
      <c r="E26" s="74">
        <f t="shared" si="1"/>
        <v>0.75</v>
      </c>
      <c r="F26" s="66" t="s">
        <v>359</v>
      </c>
      <c r="G26" s="66"/>
      <c r="H26" s="66"/>
      <c r="I26" s="66" t="s">
        <v>356</v>
      </c>
      <c r="J26" s="66"/>
      <c r="K26" s="66"/>
      <c r="L26" s="66"/>
    </row>
    <row r="27" ht="15.75" customHeight="1">
      <c r="A27" s="66"/>
      <c r="B27" s="66" t="s">
        <v>366</v>
      </c>
      <c r="C27" s="66" t="s">
        <v>367</v>
      </c>
      <c r="D27" s="74">
        <v>54.0</v>
      </c>
      <c r="E27" s="74">
        <f t="shared" si="1"/>
        <v>2.25</v>
      </c>
      <c r="F27" s="66" t="s">
        <v>359</v>
      </c>
      <c r="G27" s="66"/>
      <c r="H27" s="66"/>
      <c r="I27" s="66" t="s">
        <v>356</v>
      </c>
      <c r="J27" s="66"/>
      <c r="K27" s="66"/>
      <c r="L27" s="66"/>
    </row>
    <row r="28" ht="15.75" customHeight="1">
      <c r="A28" s="66"/>
      <c r="B28" s="66" t="s">
        <v>368</v>
      </c>
      <c r="C28" s="66" t="s">
        <v>369</v>
      </c>
      <c r="D28" s="74">
        <v>36.0</v>
      </c>
      <c r="E28" s="74">
        <f t="shared" si="1"/>
        <v>1.5</v>
      </c>
      <c r="F28" s="66" t="s">
        <v>359</v>
      </c>
      <c r="G28" s="66"/>
      <c r="H28" s="66"/>
      <c r="I28" s="66" t="s">
        <v>356</v>
      </c>
      <c r="J28" s="66"/>
      <c r="K28" s="66"/>
      <c r="L28" s="66"/>
    </row>
    <row r="29" ht="15.75" customHeight="1">
      <c r="A29" s="66"/>
      <c r="B29" s="66" t="s">
        <v>370</v>
      </c>
      <c r="C29" s="66" t="s">
        <v>371</v>
      </c>
      <c r="D29" s="74">
        <v>72.0</v>
      </c>
      <c r="E29" s="74">
        <f t="shared" si="1"/>
        <v>3</v>
      </c>
      <c r="F29" s="66" t="s">
        <v>359</v>
      </c>
      <c r="G29" s="66"/>
      <c r="H29" s="66"/>
      <c r="I29" s="66" t="s">
        <v>372</v>
      </c>
      <c r="J29" s="66" t="s">
        <v>326</v>
      </c>
      <c r="K29" s="66"/>
      <c r="L29" s="66"/>
    </row>
    <row r="30" ht="15.75" customHeight="1">
      <c r="A30" s="66" t="s">
        <v>373</v>
      </c>
      <c r="B30" s="68" t="s">
        <v>374</v>
      </c>
      <c r="C30" s="66" t="s">
        <v>242</v>
      </c>
      <c r="D30" s="74">
        <v>75.0</v>
      </c>
      <c r="E30" s="74">
        <f t="shared" si="1"/>
        <v>3.125</v>
      </c>
      <c r="F30" s="66" t="s">
        <v>329</v>
      </c>
      <c r="G30" s="66" t="s">
        <v>330</v>
      </c>
      <c r="H30" s="68">
        <f>sum(D30:D32)/24</f>
        <v>9.375</v>
      </c>
      <c r="I30" s="66" t="s">
        <v>356</v>
      </c>
      <c r="J30" s="66"/>
      <c r="K30" s="66"/>
      <c r="L30" s="66"/>
    </row>
    <row r="31" ht="15.75" customHeight="1">
      <c r="A31" s="75"/>
      <c r="B31" s="68" t="s">
        <v>375</v>
      </c>
      <c r="C31" s="66" t="s">
        <v>376</v>
      </c>
      <c r="D31" s="74">
        <v>75.0</v>
      </c>
      <c r="E31" s="74">
        <f t="shared" si="1"/>
        <v>3.125</v>
      </c>
      <c r="F31" s="68" t="s">
        <v>377</v>
      </c>
      <c r="G31" s="68"/>
      <c r="H31" s="68"/>
      <c r="I31" s="66" t="s">
        <v>372</v>
      </c>
      <c r="J31" s="66" t="s">
        <v>326</v>
      </c>
      <c r="K31" s="66"/>
      <c r="L31" s="66"/>
    </row>
    <row r="32" ht="15.75" customHeight="1">
      <c r="A32" s="75"/>
      <c r="B32" s="68" t="s">
        <v>378</v>
      </c>
      <c r="C32" s="66" t="s">
        <v>379</v>
      </c>
      <c r="D32" s="74">
        <v>75.0</v>
      </c>
      <c r="E32" s="74">
        <f t="shared" si="1"/>
        <v>3.125</v>
      </c>
      <c r="F32" s="68" t="s">
        <v>377</v>
      </c>
      <c r="G32" s="68"/>
      <c r="H32" s="68"/>
      <c r="I32" s="66" t="s">
        <v>372</v>
      </c>
      <c r="J32" s="66" t="s">
        <v>326</v>
      </c>
      <c r="K32" s="66"/>
      <c r="L32" s="66"/>
    </row>
    <row r="33" ht="15.75" customHeight="1">
      <c r="A33" s="71" t="s">
        <v>380</v>
      </c>
      <c r="B33" s="76"/>
      <c r="C33" s="72"/>
      <c r="D33" s="77"/>
      <c r="E33" s="77"/>
      <c r="F33" s="76"/>
      <c r="G33" s="76"/>
      <c r="H33" s="76"/>
      <c r="I33" s="72"/>
      <c r="J33" s="66"/>
      <c r="K33" s="66"/>
      <c r="L33" s="66"/>
    </row>
    <row r="34" ht="15.75" customHeight="1">
      <c r="A34" s="66" t="s">
        <v>167</v>
      </c>
      <c r="B34" s="66"/>
      <c r="C34" s="66"/>
      <c r="D34" s="73"/>
      <c r="E34" s="73">
        <f>sum(E35:E53)</f>
        <v>231.44</v>
      </c>
      <c r="F34" s="66"/>
      <c r="G34" s="66"/>
      <c r="H34" s="73">
        <f>sum(H35:H53)</f>
        <v>294.44</v>
      </c>
      <c r="I34" s="66"/>
      <c r="J34" s="66"/>
      <c r="K34" s="66"/>
      <c r="L34" s="66"/>
    </row>
    <row r="35" ht="15.75" customHeight="1">
      <c r="A35" s="66" t="s">
        <v>381</v>
      </c>
      <c r="B35" s="66" t="s">
        <v>382</v>
      </c>
      <c r="C35" s="66"/>
      <c r="D35" s="74"/>
      <c r="E35" s="74">
        <v>16.0</v>
      </c>
      <c r="F35" s="66" t="s">
        <v>383</v>
      </c>
      <c r="G35" s="66" t="s">
        <v>384</v>
      </c>
      <c r="H35" s="66">
        <v>16.0</v>
      </c>
      <c r="I35" s="66" t="s">
        <v>385</v>
      </c>
      <c r="J35" s="66"/>
      <c r="K35" s="66"/>
      <c r="L35" s="66"/>
    </row>
    <row r="36" ht="15.75" customHeight="1">
      <c r="A36" s="66"/>
      <c r="B36" s="66" t="s">
        <v>386</v>
      </c>
      <c r="C36" s="66"/>
      <c r="D36" s="74"/>
      <c r="E36" s="74">
        <v>16.0</v>
      </c>
      <c r="F36" s="66" t="s">
        <v>383</v>
      </c>
      <c r="G36" s="66"/>
      <c r="H36" s="66">
        <v>16.0</v>
      </c>
      <c r="I36" s="66" t="s">
        <v>387</v>
      </c>
      <c r="J36" s="66"/>
      <c r="K36" s="66"/>
      <c r="L36" s="66"/>
    </row>
    <row r="37" ht="15.75" customHeight="1">
      <c r="A37" s="66"/>
      <c r="B37" s="66" t="s">
        <v>388</v>
      </c>
      <c r="C37" s="66"/>
      <c r="D37" s="74"/>
      <c r="E37" s="74">
        <v>16.0</v>
      </c>
      <c r="F37" s="66" t="s">
        <v>383</v>
      </c>
      <c r="G37" s="66"/>
      <c r="H37" s="66">
        <v>16.0</v>
      </c>
      <c r="I37" s="66" t="s">
        <v>389</v>
      </c>
      <c r="J37" s="66"/>
      <c r="K37" s="66"/>
      <c r="L37" s="66"/>
    </row>
    <row r="38" ht="15.75" customHeight="1">
      <c r="A38" s="66"/>
      <c r="B38" s="66" t="s">
        <v>390</v>
      </c>
      <c r="C38" s="66"/>
      <c r="D38" s="74"/>
      <c r="E38" s="74">
        <v>16.0</v>
      </c>
      <c r="F38" s="66" t="s">
        <v>383</v>
      </c>
      <c r="G38" s="66"/>
      <c r="H38" s="66">
        <v>16.0</v>
      </c>
      <c r="I38" s="66" t="s">
        <v>391</v>
      </c>
      <c r="J38" s="66"/>
      <c r="K38" s="66"/>
      <c r="L38" s="66"/>
    </row>
    <row r="39" ht="15.75" customHeight="1">
      <c r="B39" s="66" t="s">
        <v>392</v>
      </c>
      <c r="C39" s="66"/>
      <c r="D39" s="74"/>
      <c r="E39" s="74">
        <v>16.0</v>
      </c>
      <c r="F39" s="66" t="s">
        <v>383</v>
      </c>
      <c r="G39" s="66" t="s">
        <v>384</v>
      </c>
      <c r="H39" s="66">
        <v>16.0</v>
      </c>
      <c r="I39" s="66" t="s">
        <v>393</v>
      </c>
      <c r="J39" s="66"/>
      <c r="K39" s="66"/>
      <c r="L39" s="66"/>
    </row>
    <row r="40" ht="15.75" customHeight="1">
      <c r="B40" s="66" t="s">
        <v>394</v>
      </c>
      <c r="G40" s="66"/>
      <c r="H40" s="66">
        <v>16.0</v>
      </c>
      <c r="I40" s="66" t="s">
        <v>395</v>
      </c>
      <c r="J40" s="66"/>
      <c r="K40" s="66"/>
      <c r="L40" s="66"/>
    </row>
    <row r="41" ht="15.75" customHeight="1">
      <c r="A41" s="66"/>
      <c r="B41" s="66" t="s">
        <v>396</v>
      </c>
      <c r="G41" s="66"/>
      <c r="H41" s="66">
        <v>16.0</v>
      </c>
      <c r="I41" s="66" t="s">
        <v>397</v>
      </c>
      <c r="J41" s="66"/>
      <c r="K41" s="66"/>
      <c r="L41" s="66"/>
    </row>
    <row r="42" ht="15.75" customHeight="1">
      <c r="A42" s="66"/>
      <c r="B42" s="66" t="s">
        <v>398</v>
      </c>
      <c r="G42" s="66"/>
      <c r="H42" s="66">
        <v>16.0</v>
      </c>
      <c r="I42" s="66" t="s">
        <v>399</v>
      </c>
      <c r="J42" s="66"/>
      <c r="K42" s="66"/>
      <c r="L42" s="66"/>
    </row>
    <row r="43" ht="15.75" customHeight="1">
      <c r="A43" s="66"/>
      <c r="B43" s="66" t="s">
        <v>400</v>
      </c>
      <c r="G43" s="66">
        <v>15.0</v>
      </c>
      <c r="H43" s="66">
        <v>15.0</v>
      </c>
      <c r="I43" s="66" t="s">
        <v>356</v>
      </c>
      <c r="J43" s="66"/>
      <c r="K43" s="67"/>
      <c r="L43" s="67"/>
      <c r="M43" s="78"/>
      <c r="N43" s="78"/>
      <c r="O43" s="78"/>
    </row>
    <row r="44" ht="15.75" customHeight="1">
      <c r="A44" s="66" t="s">
        <v>401</v>
      </c>
      <c r="B44" s="66" t="s">
        <v>402</v>
      </c>
      <c r="C44" s="66"/>
      <c r="D44" s="74"/>
      <c r="E44" s="74">
        <v>16.0</v>
      </c>
      <c r="F44" s="66" t="s">
        <v>403</v>
      </c>
      <c r="G44" s="66" t="s">
        <v>384</v>
      </c>
      <c r="H44" s="66">
        <v>16.0</v>
      </c>
      <c r="I44" s="66" t="s">
        <v>404</v>
      </c>
      <c r="J44" s="66"/>
      <c r="K44" s="67"/>
      <c r="L44" s="67"/>
      <c r="M44" s="78"/>
      <c r="N44" s="78"/>
      <c r="O44" s="78"/>
    </row>
    <row r="45" ht="15.75" customHeight="1">
      <c r="B45" s="66" t="s">
        <v>405</v>
      </c>
      <c r="C45" s="66"/>
      <c r="D45" s="74"/>
      <c r="E45" s="74">
        <v>16.0</v>
      </c>
      <c r="F45" s="66" t="s">
        <v>403</v>
      </c>
      <c r="G45" s="66"/>
      <c r="H45" s="66">
        <v>16.0</v>
      </c>
      <c r="I45" s="66" t="s">
        <v>406</v>
      </c>
      <c r="J45" s="66"/>
      <c r="K45" s="67"/>
      <c r="L45" s="67"/>
      <c r="M45" s="78"/>
      <c r="N45" s="78"/>
      <c r="O45" s="78"/>
    </row>
    <row r="46" ht="15.75" customHeight="1">
      <c r="A46" s="66"/>
      <c r="B46" s="66" t="s">
        <v>407</v>
      </c>
      <c r="C46" s="66"/>
      <c r="D46" s="74"/>
      <c r="E46" s="74">
        <v>16.0</v>
      </c>
      <c r="F46" s="66" t="s">
        <v>403</v>
      </c>
      <c r="G46" s="66"/>
      <c r="H46" s="66">
        <v>16.0</v>
      </c>
      <c r="I46" s="66" t="s">
        <v>408</v>
      </c>
      <c r="J46" s="66"/>
      <c r="K46" s="67"/>
      <c r="L46" s="67"/>
      <c r="M46" s="78"/>
      <c r="N46" s="78"/>
      <c r="O46" s="78"/>
    </row>
    <row r="47" ht="15.75" customHeight="1">
      <c r="B47" s="66" t="s">
        <v>409</v>
      </c>
      <c r="C47" s="66"/>
      <c r="D47" s="74"/>
      <c r="E47" s="74">
        <v>16.0</v>
      </c>
      <c r="F47" s="66" t="s">
        <v>403</v>
      </c>
      <c r="G47" s="66"/>
      <c r="H47" s="66">
        <v>16.0</v>
      </c>
      <c r="I47" s="66" t="s">
        <v>410</v>
      </c>
      <c r="J47" s="66"/>
      <c r="K47" s="67"/>
      <c r="L47" s="67"/>
      <c r="M47" s="78"/>
      <c r="N47" s="78"/>
      <c r="O47" s="78"/>
    </row>
    <row r="48" ht="15.75" customHeight="1">
      <c r="A48" s="66" t="s">
        <v>411</v>
      </c>
      <c r="B48" s="66" t="s">
        <v>412</v>
      </c>
      <c r="C48" s="66"/>
      <c r="D48" s="74"/>
      <c r="E48" s="74">
        <v>16.0</v>
      </c>
      <c r="F48" s="66" t="s">
        <v>403</v>
      </c>
      <c r="G48" s="66" t="s">
        <v>413</v>
      </c>
      <c r="H48" s="66">
        <v>16.0</v>
      </c>
      <c r="I48" s="66" t="s">
        <v>356</v>
      </c>
      <c r="J48" s="66"/>
      <c r="K48" s="67"/>
      <c r="L48" s="67"/>
      <c r="M48" s="78"/>
      <c r="N48" s="78"/>
      <c r="O48" s="78"/>
    </row>
    <row r="49" ht="15.75" customHeight="1">
      <c r="A49" s="66" t="s">
        <v>414</v>
      </c>
      <c r="B49" s="66" t="s">
        <v>415</v>
      </c>
      <c r="C49" s="66"/>
      <c r="D49" s="74"/>
      <c r="E49" s="74">
        <v>30.0</v>
      </c>
      <c r="F49" s="66" t="s">
        <v>403</v>
      </c>
      <c r="G49" s="66" t="s">
        <v>416</v>
      </c>
      <c r="H49" s="66">
        <v>30.0</v>
      </c>
      <c r="I49" s="66"/>
      <c r="J49" s="66"/>
      <c r="K49" s="67"/>
      <c r="L49" s="67"/>
      <c r="M49" s="78"/>
      <c r="N49" s="78"/>
      <c r="O49" s="78"/>
    </row>
    <row r="50" ht="15.75" customHeight="1">
      <c r="A50" s="66" t="s">
        <v>417</v>
      </c>
      <c r="B50" s="66" t="s">
        <v>418</v>
      </c>
      <c r="C50" s="66"/>
      <c r="D50" s="66"/>
      <c r="E50" s="66">
        <v>40.0</v>
      </c>
      <c r="F50" s="66" t="s">
        <v>403</v>
      </c>
      <c r="G50" s="66" t="s">
        <v>419</v>
      </c>
      <c r="H50" s="66">
        <v>40.0</v>
      </c>
      <c r="I50" s="66"/>
      <c r="J50" s="66"/>
      <c r="K50" s="66"/>
      <c r="L50" s="66"/>
    </row>
    <row r="51" ht="15.75" customHeight="1">
      <c r="A51" s="71" t="s">
        <v>420</v>
      </c>
      <c r="B51" s="72"/>
      <c r="C51" s="72"/>
      <c r="D51" s="72"/>
      <c r="E51" s="72"/>
      <c r="F51" s="72"/>
      <c r="G51" s="72"/>
      <c r="H51" s="72"/>
      <c r="I51" s="72"/>
      <c r="J51" s="66"/>
      <c r="K51" s="66"/>
      <c r="L51" s="66"/>
    </row>
    <row r="52" ht="15.75" customHeight="1">
      <c r="A52" s="66" t="s">
        <v>331</v>
      </c>
      <c r="B52" s="66" t="s">
        <v>421</v>
      </c>
      <c r="C52" s="66"/>
      <c r="D52" s="79">
        <v>57.6</v>
      </c>
      <c r="E52" s="74">
        <f t="shared" ref="E52:E53" si="3">D52/120</f>
        <v>0.48</v>
      </c>
      <c r="F52" s="66" t="s">
        <v>383</v>
      </c>
      <c r="G52" s="66"/>
      <c r="H52" s="74">
        <f>sum(E52:E53)</f>
        <v>1.44</v>
      </c>
      <c r="I52" s="66" t="s">
        <v>422</v>
      </c>
      <c r="J52" s="66"/>
      <c r="K52" s="66"/>
      <c r="L52" s="66"/>
    </row>
    <row r="53" ht="15.75" customHeight="1">
      <c r="A53" s="66"/>
      <c r="B53" s="66" t="s">
        <v>423</v>
      </c>
      <c r="C53" s="66"/>
      <c r="D53" s="79">
        <v>115.2</v>
      </c>
      <c r="E53" s="74">
        <f t="shared" si="3"/>
        <v>0.96</v>
      </c>
      <c r="F53" s="68" t="s">
        <v>424</v>
      </c>
      <c r="G53" s="66"/>
      <c r="H53" s="66"/>
      <c r="I53" s="66" t="s">
        <v>425</v>
      </c>
      <c r="J53" s="66"/>
      <c r="K53" s="66"/>
      <c r="L53" s="66"/>
    </row>
    <row r="54" ht="15.75" customHeight="1">
      <c r="A54" s="80"/>
      <c r="B54" s="80"/>
      <c r="C54" s="80"/>
      <c r="D54" s="81"/>
      <c r="E54" s="82"/>
      <c r="F54" s="80"/>
      <c r="G54" s="80"/>
      <c r="H54" s="80"/>
      <c r="I54" s="80"/>
      <c r="J54" s="66"/>
      <c r="K54" s="66"/>
      <c r="L54" s="66"/>
    </row>
    <row r="55" ht="15.75" customHeight="1">
      <c r="A55" s="67" t="s">
        <v>426</v>
      </c>
      <c r="D55" s="74">
        <f>sum(D57:D92)</f>
        <v>4071.02</v>
      </c>
      <c r="E55" s="74">
        <f>sum(E57:E74)</f>
        <v>161.2258333</v>
      </c>
      <c r="F55" s="66" t="s">
        <v>167</v>
      </c>
      <c r="G55" s="66"/>
      <c r="H55" s="74">
        <f>sum(H57:H74)</f>
        <v>176.5466667</v>
      </c>
      <c r="I55" s="66"/>
      <c r="J55" s="66"/>
      <c r="K55" s="66"/>
      <c r="L55" s="66"/>
    </row>
    <row r="56" ht="15.75" customHeight="1">
      <c r="A56" s="69" t="s">
        <v>313</v>
      </c>
      <c r="B56" s="69" t="s">
        <v>314</v>
      </c>
      <c r="C56" s="69" t="s">
        <v>315</v>
      </c>
      <c r="D56" s="70" t="s">
        <v>316</v>
      </c>
      <c r="E56" s="71" t="s">
        <v>427</v>
      </c>
      <c r="F56" s="69" t="s">
        <v>318</v>
      </c>
      <c r="G56" s="70" t="s">
        <v>319</v>
      </c>
      <c r="H56" s="71" t="s">
        <v>320</v>
      </c>
      <c r="I56" s="72"/>
      <c r="J56" s="66"/>
      <c r="K56" s="66"/>
      <c r="L56" s="66"/>
    </row>
    <row r="57" ht="15.75" customHeight="1">
      <c r="A57" s="66" t="s">
        <v>167</v>
      </c>
      <c r="B57" s="66"/>
      <c r="C57" s="66"/>
      <c r="D57" s="83">
        <f>sum(D58:D93)</f>
        <v>2035.51</v>
      </c>
      <c r="E57" s="83">
        <f>sum(E58:E74)</f>
        <v>80.61291667</v>
      </c>
      <c r="F57" s="66"/>
      <c r="G57" s="66"/>
      <c r="H57" s="83">
        <f>sum(H58:H74)</f>
        <v>88.27333333</v>
      </c>
      <c r="I57" s="66"/>
      <c r="J57" s="66"/>
      <c r="K57" s="66"/>
      <c r="L57" s="66"/>
    </row>
    <row r="58" ht="15.75" customHeight="1">
      <c r="A58" s="66" t="s">
        <v>321</v>
      </c>
      <c r="B58" s="66" t="s">
        <v>428</v>
      </c>
      <c r="C58" s="66">
        <v>20.0</v>
      </c>
      <c r="D58" s="74">
        <v>91.35</v>
      </c>
      <c r="E58" s="74">
        <f t="shared" ref="E58:E71" si="4">D58/24</f>
        <v>3.80625</v>
      </c>
      <c r="F58" s="66" t="s">
        <v>323</v>
      </c>
      <c r="G58" s="66" t="s">
        <v>429</v>
      </c>
      <c r="H58" s="74">
        <v>3.81</v>
      </c>
      <c r="I58" s="66" t="s">
        <v>325</v>
      </c>
      <c r="J58" s="66" t="s">
        <v>326</v>
      </c>
      <c r="K58" s="66"/>
      <c r="L58" s="66"/>
    </row>
    <row r="59" ht="15.75" customHeight="1">
      <c r="B59" s="66" t="s">
        <v>430</v>
      </c>
      <c r="C59" s="66">
        <v>35.0</v>
      </c>
      <c r="D59" s="74">
        <v>159.86</v>
      </c>
      <c r="E59" s="74">
        <f t="shared" si="4"/>
        <v>6.660833333</v>
      </c>
      <c r="F59" s="66" t="s">
        <v>323</v>
      </c>
      <c r="G59" s="66" t="s">
        <v>431</v>
      </c>
      <c r="H59" s="74">
        <v>6.66</v>
      </c>
      <c r="I59" s="66" t="s">
        <v>325</v>
      </c>
      <c r="J59" s="66" t="s">
        <v>326</v>
      </c>
      <c r="K59" s="66"/>
      <c r="L59" s="66"/>
    </row>
    <row r="60" ht="15.75" customHeight="1">
      <c r="A60" s="66" t="s">
        <v>327</v>
      </c>
      <c r="B60" s="66" t="s">
        <v>432</v>
      </c>
      <c r="C60" s="66">
        <v>16.0</v>
      </c>
      <c r="D60" s="74">
        <v>73.08</v>
      </c>
      <c r="E60" s="74">
        <f t="shared" si="4"/>
        <v>3.045</v>
      </c>
      <c r="F60" s="66" t="s">
        <v>323</v>
      </c>
      <c r="G60" s="66" t="s">
        <v>429</v>
      </c>
      <c r="H60" s="74">
        <v>3.04</v>
      </c>
      <c r="I60" s="66" t="s">
        <v>325</v>
      </c>
      <c r="J60" s="66" t="s">
        <v>326</v>
      </c>
      <c r="K60" s="66"/>
      <c r="L60" s="66"/>
    </row>
    <row r="61" ht="15.75" customHeight="1">
      <c r="B61" s="66" t="s">
        <v>433</v>
      </c>
      <c r="C61" s="66">
        <v>40.0</v>
      </c>
      <c r="D61" s="74">
        <v>182.7</v>
      </c>
      <c r="E61" s="74">
        <f t="shared" si="4"/>
        <v>7.6125</v>
      </c>
      <c r="F61" s="66" t="s">
        <v>323</v>
      </c>
      <c r="G61" s="66" t="s">
        <v>334</v>
      </c>
      <c r="H61" s="74">
        <v>7.61</v>
      </c>
      <c r="I61" s="66" t="s">
        <v>325</v>
      </c>
      <c r="J61" s="66" t="s">
        <v>326</v>
      </c>
      <c r="K61" s="66"/>
      <c r="L61" s="66"/>
    </row>
    <row r="62" ht="15.75" customHeight="1">
      <c r="A62" s="66" t="s">
        <v>331</v>
      </c>
      <c r="B62" s="66" t="s">
        <v>434</v>
      </c>
      <c r="C62" s="66">
        <v>70.0</v>
      </c>
      <c r="D62" s="74">
        <v>319.72</v>
      </c>
      <c r="E62" s="74">
        <f t="shared" si="4"/>
        <v>13.32166667</v>
      </c>
      <c r="F62" s="66" t="s">
        <v>333</v>
      </c>
      <c r="G62" s="66" t="s">
        <v>330</v>
      </c>
      <c r="H62" s="74">
        <v>13.32</v>
      </c>
      <c r="I62" s="66" t="s">
        <v>325</v>
      </c>
      <c r="J62" s="66" t="s">
        <v>326</v>
      </c>
      <c r="K62" s="66"/>
      <c r="L62" s="66"/>
    </row>
    <row r="63" ht="15.75" customHeight="1">
      <c r="A63" s="66" t="s">
        <v>335</v>
      </c>
      <c r="B63" s="66" t="s">
        <v>435</v>
      </c>
      <c r="C63" s="66"/>
      <c r="D63" s="74">
        <v>216.0</v>
      </c>
      <c r="E63" s="74">
        <f t="shared" si="4"/>
        <v>9</v>
      </c>
      <c r="F63" s="66" t="s">
        <v>333</v>
      </c>
      <c r="G63" s="66" t="s">
        <v>436</v>
      </c>
      <c r="H63" s="74">
        <v>9.0</v>
      </c>
      <c r="I63" s="66" t="s">
        <v>325</v>
      </c>
      <c r="J63" s="66" t="s">
        <v>326</v>
      </c>
      <c r="K63" s="66"/>
      <c r="L63" s="66"/>
    </row>
    <row r="64" ht="15.75" customHeight="1">
      <c r="A64" s="66" t="s">
        <v>338</v>
      </c>
      <c r="B64" s="66" t="s">
        <v>437</v>
      </c>
      <c r="C64" s="66"/>
      <c r="D64" s="74">
        <v>240.0</v>
      </c>
      <c r="E64" s="74">
        <f t="shared" si="4"/>
        <v>10</v>
      </c>
      <c r="F64" s="66" t="s">
        <v>333</v>
      </c>
      <c r="G64" s="66" t="s">
        <v>330</v>
      </c>
      <c r="H64" s="74">
        <v>10.0</v>
      </c>
      <c r="I64" s="66" t="s">
        <v>325</v>
      </c>
      <c r="J64" s="66" t="s">
        <v>326</v>
      </c>
      <c r="K64" s="66"/>
      <c r="L64" s="66"/>
    </row>
    <row r="65" ht="15.75" customHeight="1">
      <c r="A65" s="66" t="s">
        <v>340</v>
      </c>
      <c r="B65" s="66" t="s">
        <v>438</v>
      </c>
      <c r="C65" s="66"/>
      <c r="D65" s="74">
        <v>240.0</v>
      </c>
      <c r="E65" s="74">
        <f t="shared" si="4"/>
        <v>10</v>
      </c>
      <c r="F65" s="66" t="s">
        <v>333</v>
      </c>
      <c r="G65" s="66" t="s">
        <v>439</v>
      </c>
      <c r="H65" s="74">
        <v>10.0</v>
      </c>
      <c r="I65" s="66" t="s">
        <v>325</v>
      </c>
      <c r="J65" s="66" t="s">
        <v>326</v>
      </c>
      <c r="K65" s="65"/>
      <c r="L65" s="65"/>
      <c r="M65" s="84"/>
      <c r="N65" s="84"/>
      <c r="O65" s="84"/>
      <c r="P65" s="84"/>
    </row>
    <row r="66" ht="15.75" customHeight="1">
      <c r="A66" s="66" t="s">
        <v>342</v>
      </c>
      <c r="B66" s="66" t="s">
        <v>440</v>
      </c>
      <c r="C66" s="66" t="s">
        <v>82</v>
      </c>
      <c r="D66" s="74">
        <v>18.0</v>
      </c>
      <c r="E66" s="74">
        <f t="shared" si="4"/>
        <v>0.75</v>
      </c>
      <c r="F66" s="66" t="s">
        <v>329</v>
      </c>
      <c r="G66" s="66">
        <v>40.0</v>
      </c>
      <c r="H66" s="74">
        <f>sum(E66:E74)</f>
        <v>17.16666667</v>
      </c>
      <c r="I66" s="66" t="s">
        <v>385</v>
      </c>
      <c r="J66" s="66"/>
      <c r="K66" s="65"/>
      <c r="L66" s="65"/>
      <c r="M66" s="84"/>
      <c r="N66" s="84"/>
      <c r="O66" s="84"/>
      <c r="P66" s="84"/>
    </row>
    <row r="67" ht="15.75" customHeight="1">
      <c r="B67" s="66" t="s">
        <v>441</v>
      </c>
      <c r="C67" s="66" t="s">
        <v>121</v>
      </c>
      <c r="D67" s="74">
        <v>48.0</v>
      </c>
      <c r="E67" s="74">
        <f t="shared" si="4"/>
        <v>2</v>
      </c>
      <c r="F67" s="66" t="s">
        <v>442</v>
      </c>
      <c r="G67" s="66"/>
      <c r="H67" s="74"/>
      <c r="I67" s="66" t="s">
        <v>387</v>
      </c>
      <c r="J67" s="66"/>
      <c r="K67" s="65"/>
      <c r="L67" s="65"/>
      <c r="M67" s="84"/>
      <c r="N67" s="84"/>
      <c r="O67" s="84"/>
      <c r="P67" s="84"/>
    </row>
    <row r="68" ht="15.75" customHeight="1">
      <c r="B68" s="66" t="s">
        <v>443</v>
      </c>
      <c r="C68" s="66" t="s">
        <v>257</v>
      </c>
      <c r="D68" s="74">
        <v>36.0</v>
      </c>
      <c r="E68" s="74">
        <f t="shared" si="4"/>
        <v>1.5</v>
      </c>
      <c r="F68" s="66" t="s">
        <v>442</v>
      </c>
      <c r="I68" s="66" t="s">
        <v>389</v>
      </c>
      <c r="M68" s="84"/>
      <c r="N68" s="84"/>
      <c r="O68" s="84"/>
      <c r="P68" s="84"/>
    </row>
    <row r="69" ht="15.75" customHeight="1">
      <c r="A69" s="66"/>
      <c r="B69" s="66" t="s">
        <v>444</v>
      </c>
      <c r="C69" s="66" t="s">
        <v>257</v>
      </c>
      <c r="D69" s="74">
        <v>126.0</v>
      </c>
      <c r="E69" s="74">
        <f t="shared" si="4"/>
        <v>5.25</v>
      </c>
      <c r="F69" s="66" t="s">
        <v>442</v>
      </c>
      <c r="G69" s="66"/>
      <c r="H69" s="74"/>
      <c r="I69" s="66" t="s">
        <v>391</v>
      </c>
      <c r="J69" s="66"/>
      <c r="L69" s="85"/>
      <c r="M69" s="84"/>
      <c r="N69" s="84"/>
      <c r="O69" s="84"/>
      <c r="P69" s="84"/>
    </row>
    <row r="70" ht="15.75" customHeight="1">
      <c r="A70" s="66" t="s">
        <v>344</v>
      </c>
      <c r="B70" s="66" t="s">
        <v>445</v>
      </c>
      <c r="C70" s="66" t="s">
        <v>446</v>
      </c>
      <c r="D70" s="66">
        <v>72.0</v>
      </c>
      <c r="E70" s="74">
        <f t="shared" si="4"/>
        <v>3</v>
      </c>
      <c r="F70" s="3" t="s">
        <v>447</v>
      </c>
      <c r="G70" s="66" t="s">
        <v>334</v>
      </c>
      <c r="H70" s="30">
        <f>sum(E70:E74)</f>
        <v>7.666666667</v>
      </c>
      <c r="I70" s="66" t="s">
        <v>372</v>
      </c>
      <c r="J70" s="66" t="s">
        <v>326</v>
      </c>
      <c r="M70" s="74">
        <v>72.0</v>
      </c>
      <c r="N70" s="74">
        <f>M70/24</f>
        <v>3</v>
      </c>
      <c r="O70" s="66" t="s">
        <v>442</v>
      </c>
      <c r="P70" s="84"/>
    </row>
    <row r="71" ht="15.75" customHeight="1">
      <c r="B71" s="66" t="s">
        <v>448</v>
      </c>
      <c r="C71" s="66"/>
      <c r="D71" s="74">
        <v>40.0</v>
      </c>
      <c r="E71" s="74">
        <f t="shared" si="4"/>
        <v>1.666666667</v>
      </c>
      <c r="F71" s="66" t="s">
        <v>383</v>
      </c>
      <c r="G71" s="66"/>
      <c r="H71" s="74"/>
      <c r="I71" s="66" t="s">
        <v>372</v>
      </c>
      <c r="J71" s="66" t="s">
        <v>326</v>
      </c>
      <c r="K71" s="85"/>
      <c r="L71" s="85"/>
      <c r="M71" s="84"/>
      <c r="N71" s="84"/>
      <c r="O71" s="84"/>
      <c r="P71" s="84"/>
    </row>
    <row r="72" ht="15.75" customHeight="1">
      <c r="B72" s="66" t="s">
        <v>449</v>
      </c>
      <c r="C72" s="66"/>
      <c r="D72" s="74"/>
      <c r="E72" s="74">
        <v>1.0</v>
      </c>
      <c r="F72" s="66" t="s">
        <v>383</v>
      </c>
      <c r="G72" s="66"/>
      <c r="H72" s="74"/>
      <c r="I72" s="3" t="s">
        <v>450</v>
      </c>
      <c r="J72" s="66"/>
      <c r="L72" s="85"/>
      <c r="M72" s="84"/>
      <c r="N72" s="84"/>
      <c r="O72" s="84"/>
      <c r="P72" s="84"/>
    </row>
    <row r="73" ht="15.75" customHeight="1">
      <c r="A73" s="74"/>
      <c r="B73" s="66" t="s">
        <v>451</v>
      </c>
      <c r="C73" s="74"/>
      <c r="D73" s="74"/>
      <c r="E73" s="74">
        <v>1.0</v>
      </c>
      <c r="F73" s="66" t="s">
        <v>383</v>
      </c>
      <c r="G73" s="74"/>
      <c r="H73" s="74"/>
      <c r="I73" s="66" t="s">
        <v>372</v>
      </c>
      <c r="J73" s="66" t="s">
        <v>326</v>
      </c>
      <c r="K73" s="85"/>
      <c r="L73" s="85"/>
      <c r="N73" s="2"/>
    </row>
    <row r="74" ht="15.75" customHeight="1">
      <c r="A74" s="74"/>
      <c r="B74" s="66" t="s">
        <v>452</v>
      </c>
      <c r="C74" s="74"/>
      <c r="D74" s="74"/>
      <c r="E74" s="74">
        <v>1.0</v>
      </c>
      <c r="F74" s="66" t="s">
        <v>383</v>
      </c>
      <c r="G74" s="74"/>
      <c r="H74" s="74"/>
      <c r="I74" s="3" t="s">
        <v>450</v>
      </c>
      <c r="J74" s="66"/>
      <c r="K74" s="85"/>
      <c r="L74" s="85"/>
      <c r="N74" s="2"/>
    </row>
    <row r="75" ht="15.75" customHeight="1">
      <c r="A75" s="71" t="s">
        <v>380</v>
      </c>
      <c r="B75" s="72"/>
      <c r="C75" s="72"/>
      <c r="D75" s="77"/>
      <c r="E75" s="77"/>
      <c r="F75" s="72"/>
      <c r="G75" s="72"/>
      <c r="H75" s="77"/>
      <c r="I75" s="72"/>
      <c r="J75" s="66"/>
      <c r="K75" s="85"/>
      <c r="L75" s="85"/>
      <c r="N75" s="2"/>
    </row>
    <row r="76" ht="15.75" customHeight="1">
      <c r="B76" s="66"/>
      <c r="C76" s="66"/>
      <c r="D76" s="66"/>
      <c r="E76" s="75">
        <f>sum(E78:E95)</f>
        <v>315.4</v>
      </c>
      <c r="F76" s="66"/>
      <c r="H76" s="75">
        <f>sum(H78:H95)</f>
        <v>183.44</v>
      </c>
      <c r="I76" s="66"/>
      <c r="J76" s="66"/>
      <c r="K76" s="85"/>
      <c r="L76" s="85"/>
      <c r="N76" s="2"/>
    </row>
    <row r="77" ht="15.75" customHeight="1">
      <c r="B77" s="66" t="s">
        <v>453</v>
      </c>
      <c r="C77" s="66"/>
      <c r="D77" s="66"/>
      <c r="E77" s="66">
        <v>20.0</v>
      </c>
      <c r="F77" s="66" t="s">
        <v>383</v>
      </c>
      <c r="I77" s="66" t="s">
        <v>399</v>
      </c>
      <c r="J77" s="66"/>
      <c r="K77" s="85"/>
      <c r="L77" s="85"/>
      <c r="N77" s="2"/>
    </row>
    <row r="78" ht="15.75" customHeight="1">
      <c r="A78" s="66" t="s">
        <v>344</v>
      </c>
      <c r="B78" s="66" t="s">
        <v>454</v>
      </c>
      <c r="C78" s="66"/>
      <c r="D78" s="66"/>
      <c r="E78" s="66">
        <v>20.0</v>
      </c>
      <c r="F78" s="66" t="s">
        <v>383</v>
      </c>
      <c r="G78" s="66" t="s">
        <v>384</v>
      </c>
      <c r="H78" s="66">
        <v>16.0</v>
      </c>
      <c r="I78" s="66" t="s">
        <v>404</v>
      </c>
      <c r="J78" s="66"/>
      <c r="K78" s="85"/>
      <c r="L78" s="85"/>
      <c r="N78" s="2"/>
    </row>
    <row r="79" ht="15.75" customHeight="1">
      <c r="A79" s="66"/>
      <c r="B79" s="66" t="s">
        <v>455</v>
      </c>
      <c r="C79" s="66"/>
      <c r="D79" s="66"/>
      <c r="E79" s="66">
        <v>20.0</v>
      </c>
      <c r="F79" s="66" t="s">
        <v>383</v>
      </c>
      <c r="G79" s="66"/>
      <c r="H79" s="66">
        <v>16.0</v>
      </c>
      <c r="I79" s="66" t="s">
        <v>406</v>
      </c>
      <c r="J79" s="66"/>
      <c r="K79" s="85"/>
      <c r="L79" s="85"/>
      <c r="N79" s="2"/>
    </row>
    <row r="80" ht="15.75" customHeight="1">
      <c r="A80" s="66"/>
      <c r="B80" s="66" t="s">
        <v>456</v>
      </c>
      <c r="C80" s="66"/>
      <c r="D80" s="66"/>
      <c r="E80" s="66">
        <v>20.0</v>
      </c>
      <c r="F80" s="66" t="s">
        <v>383</v>
      </c>
      <c r="G80" s="66"/>
      <c r="H80" s="66">
        <v>16.0</v>
      </c>
      <c r="I80" s="66" t="s">
        <v>408</v>
      </c>
      <c r="J80" s="66"/>
      <c r="K80" s="85"/>
      <c r="L80" s="85"/>
      <c r="N80" s="2"/>
    </row>
    <row r="81" ht="15.75" customHeight="1">
      <c r="B81" s="66" t="s">
        <v>457</v>
      </c>
      <c r="C81" s="66"/>
      <c r="D81" s="66"/>
      <c r="E81" s="66">
        <v>20.0</v>
      </c>
      <c r="F81" s="66" t="s">
        <v>383</v>
      </c>
      <c r="H81" s="66">
        <v>16.0</v>
      </c>
      <c r="I81" s="66" t="s">
        <v>410</v>
      </c>
      <c r="J81" s="66"/>
      <c r="K81" s="85"/>
      <c r="L81" s="85"/>
      <c r="N81" s="2"/>
    </row>
    <row r="82" ht="15.75" customHeight="1">
      <c r="A82" s="66" t="s">
        <v>350</v>
      </c>
      <c r="B82" s="66" t="s">
        <v>458</v>
      </c>
      <c r="C82" s="66"/>
      <c r="D82" s="66"/>
      <c r="E82" s="66">
        <v>20.0</v>
      </c>
      <c r="F82" s="66" t="s">
        <v>383</v>
      </c>
      <c r="G82" s="3">
        <v>15.0</v>
      </c>
      <c r="H82" s="66">
        <v>16.0</v>
      </c>
      <c r="I82" s="3" t="s">
        <v>450</v>
      </c>
      <c r="K82" s="85"/>
      <c r="L82" s="85"/>
    </row>
    <row r="83" ht="15.75" customHeight="1">
      <c r="B83" s="66" t="s">
        <v>402</v>
      </c>
      <c r="C83" s="66"/>
      <c r="D83" s="66"/>
      <c r="E83" s="66">
        <v>20.0</v>
      </c>
      <c r="F83" s="66" t="s">
        <v>403</v>
      </c>
      <c r="G83" s="66" t="s">
        <v>459</v>
      </c>
      <c r="H83" s="66">
        <v>16.0</v>
      </c>
      <c r="I83" s="66" t="s">
        <v>460</v>
      </c>
      <c r="J83" s="66"/>
      <c r="K83" s="85"/>
      <c r="L83" s="85"/>
    </row>
    <row r="84" ht="15.75" customHeight="1">
      <c r="B84" s="66" t="s">
        <v>405</v>
      </c>
      <c r="C84" s="66"/>
      <c r="D84" s="66"/>
      <c r="E84" s="66">
        <v>20.0</v>
      </c>
      <c r="F84" s="66" t="s">
        <v>403</v>
      </c>
      <c r="G84" s="66"/>
      <c r="H84" s="66">
        <v>16.0</v>
      </c>
      <c r="I84" s="66" t="s">
        <v>461</v>
      </c>
      <c r="J84" s="66"/>
      <c r="K84" s="85"/>
      <c r="L84" s="85"/>
    </row>
    <row r="85" ht="15.75" customHeight="1">
      <c r="A85" s="66" t="s">
        <v>352</v>
      </c>
      <c r="B85" s="66" t="s">
        <v>407</v>
      </c>
      <c r="C85" s="66"/>
      <c r="D85" s="66"/>
      <c r="E85" s="66">
        <v>20.0</v>
      </c>
      <c r="F85" s="66" t="s">
        <v>403</v>
      </c>
      <c r="G85" s="66"/>
      <c r="H85" s="66"/>
      <c r="I85" s="66" t="s">
        <v>462</v>
      </c>
      <c r="K85" s="85"/>
      <c r="L85" s="85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 t="s">
        <v>463</v>
      </c>
      <c r="J86" s="66"/>
      <c r="K86" s="85"/>
      <c r="L86" s="85"/>
    </row>
    <row r="87" ht="15.75" customHeight="1">
      <c r="A87" s="66" t="s">
        <v>373</v>
      </c>
      <c r="B87" s="66" t="s">
        <v>409</v>
      </c>
      <c r="C87" s="66"/>
      <c r="D87" s="66"/>
      <c r="E87" s="66">
        <v>30.0</v>
      </c>
      <c r="F87" s="66" t="s">
        <v>403</v>
      </c>
      <c r="G87" s="66" t="s">
        <v>464</v>
      </c>
      <c r="H87" s="66">
        <v>30.0</v>
      </c>
      <c r="J87" s="66"/>
      <c r="K87" s="85"/>
      <c r="L87" s="85"/>
    </row>
    <row r="88" ht="15.75" customHeight="1">
      <c r="A88" s="66" t="s">
        <v>381</v>
      </c>
      <c r="B88" s="66" t="s">
        <v>409</v>
      </c>
      <c r="C88" s="66"/>
      <c r="D88" s="66"/>
      <c r="E88" s="3">
        <v>40.0</v>
      </c>
      <c r="F88" s="66" t="s">
        <v>403</v>
      </c>
      <c r="G88" s="66" t="s">
        <v>459</v>
      </c>
      <c r="H88" s="66">
        <v>40.0</v>
      </c>
      <c r="J88" s="66"/>
      <c r="K88" s="85"/>
      <c r="L88" s="85"/>
    </row>
    <row r="89" ht="15.75" customHeight="1">
      <c r="A89" s="71" t="s">
        <v>420</v>
      </c>
      <c r="B89" s="86"/>
      <c r="C89" s="86"/>
      <c r="D89" s="72"/>
      <c r="E89" s="86"/>
      <c r="F89" s="86"/>
      <c r="G89" s="76"/>
      <c r="H89" s="72"/>
      <c r="I89" s="72"/>
      <c r="J89" s="66"/>
      <c r="K89" s="85"/>
      <c r="L89" s="87"/>
    </row>
    <row r="90" ht="15.75" customHeight="1">
      <c r="A90" s="66" t="s">
        <v>335</v>
      </c>
      <c r="B90" s="84" t="s">
        <v>465</v>
      </c>
      <c r="C90" s="67"/>
      <c r="D90" s="79">
        <v>57.6</v>
      </c>
      <c r="E90" s="74">
        <f t="shared" ref="E90:E92" si="5">D90/120</f>
        <v>0.48</v>
      </c>
      <c r="F90" s="66" t="s">
        <v>383</v>
      </c>
      <c r="G90" s="66"/>
      <c r="H90" s="74">
        <f>sum(E90:E91)</f>
        <v>0.96</v>
      </c>
      <c r="I90" s="66" t="s">
        <v>422</v>
      </c>
      <c r="J90" s="66"/>
      <c r="K90" s="85"/>
      <c r="L90" s="87"/>
    </row>
    <row r="91" ht="15.75" customHeight="1">
      <c r="B91" s="84" t="s">
        <v>466</v>
      </c>
      <c r="C91" s="67"/>
      <c r="D91" s="79">
        <v>57.6</v>
      </c>
      <c r="E91" s="74">
        <f t="shared" si="5"/>
        <v>0.48</v>
      </c>
      <c r="F91" s="66" t="s">
        <v>383</v>
      </c>
      <c r="G91" s="66"/>
      <c r="H91" s="66"/>
      <c r="I91" s="66" t="s">
        <v>425</v>
      </c>
      <c r="J91" s="66"/>
      <c r="K91" s="85"/>
      <c r="L91" s="87"/>
    </row>
    <row r="92" ht="15.75" customHeight="1">
      <c r="B92" s="84" t="s">
        <v>467</v>
      </c>
      <c r="C92" s="67"/>
      <c r="D92" s="79">
        <v>57.6</v>
      </c>
      <c r="E92" s="74">
        <f t="shared" si="5"/>
        <v>0.48</v>
      </c>
      <c r="F92" s="66" t="s">
        <v>383</v>
      </c>
      <c r="G92" s="68"/>
      <c r="H92" s="74">
        <f>sum(E92)</f>
        <v>0.48</v>
      </c>
      <c r="I92" s="66" t="s">
        <v>468</v>
      </c>
      <c r="J92" s="66"/>
      <c r="K92" s="85"/>
      <c r="L92" s="87"/>
    </row>
    <row r="93" ht="15.75" customHeight="1">
      <c r="A93" s="88"/>
      <c r="B93" s="88"/>
      <c r="C93" s="88"/>
      <c r="D93" s="80"/>
      <c r="E93" s="88"/>
      <c r="F93" s="80"/>
      <c r="G93" s="89"/>
      <c r="H93" s="80"/>
      <c r="I93" s="80"/>
      <c r="J93" s="66"/>
      <c r="K93" s="85"/>
      <c r="L93" s="87"/>
    </row>
    <row r="94" ht="15.75" customHeight="1">
      <c r="A94" s="67" t="s">
        <v>469</v>
      </c>
      <c r="D94" s="66" t="s">
        <v>470</v>
      </c>
      <c r="E94" s="67">
        <v>83.96</v>
      </c>
      <c r="F94" s="66" t="s">
        <v>167</v>
      </c>
      <c r="G94" s="68">
        <v>179.0</v>
      </c>
      <c r="H94" s="66"/>
      <c r="I94" s="66"/>
      <c r="J94" s="66"/>
      <c r="K94" s="85"/>
      <c r="L94" s="87"/>
    </row>
    <row r="95" ht="15.75" customHeight="1">
      <c r="A95" s="72" t="s">
        <v>313</v>
      </c>
      <c r="B95" s="86" t="s">
        <v>471</v>
      </c>
      <c r="C95" s="86" t="s">
        <v>472</v>
      </c>
      <c r="D95" s="86" t="s">
        <v>316</v>
      </c>
      <c r="E95" s="86" t="s">
        <v>298</v>
      </c>
      <c r="F95" s="86" t="s">
        <v>473</v>
      </c>
      <c r="G95" s="86" t="s">
        <v>319</v>
      </c>
      <c r="H95" s="72"/>
      <c r="I95" s="72"/>
      <c r="J95" s="66"/>
      <c r="K95" s="85"/>
      <c r="L95" s="87"/>
    </row>
    <row r="96" ht="15.75" customHeight="1">
      <c r="A96" s="66"/>
      <c r="B96" s="66"/>
      <c r="C96" s="66"/>
      <c r="D96" s="74">
        <f t="shared" ref="D96:E96" si="6">sum(D97:D130)</f>
        <v>2747.36</v>
      </c>
      <c r="E96" s="74">
        <f t="shared" si="6"/>
        <v>198.8733333</v>
      </c>
      <c r="F96" s="66"/>
      <c r="G96" s="66"/>
      <c r="H96" s="74">
        <f>sum(H97:H117)</f>
        <v>93.74833333</v>
      </c>
      <c r="I96" s="66"/>
      <c r="J96" s="66"/>
      <c r="K96" s="85"/>
      <c r="L96" s="87"/>
    </row>
    <row r="97" ht="15.75" customHeight="1">
      <c r="A97" s="67" t="s">
        <v>321</v>
      </c>
      <c r="B97" s="67" t="s">
        <v>474</v>
      </c>
      <c r="C97" s="67">
        <v>35.0</v>
      </c>
      <c r="D97" s="74">
        <v>160.01</v>
      </c>
      <c r="E97" s="74">
        <f t="shared" ref="E97:E113" si="7">D97/24</f>
        <v>6.667083333</v>
      </c>
      <c r="F97" s="67" t="s">
        <v>323</v>
      </c>
      <c r="G97" s="68" t="s">
        <v>334</v>
      </c>
      <c r="H97" s="74">
        <f t="shared" ref="H97:H105" si="8">E97</f>
        <v>6.667083333</v>
      </c>
      <c r="I97" s="66" t="s">
        <v>325</v>
      </c>
      <c r="J97" s="66" t="s">
        <v>326</v>
      </c>
      <c r="K97" s="85"/>
      <c r="L97" s="87"/>
    </row>
    <row r="98" ht="15.75" customHeight="1">
      <c r="A98" s="67" t="s">
        <v>327</v>
      </c>
      <c r="B98" s="67" t="s">
        <v>475</v>
      </c>
      <c r="C98" s="67">
        <v>15.0</v>
      </c>
      <c r="D98" s="74">
        <v>68.58</v>
      </c>
      <c r="E98" s="74">
        <f t="shared" si="7"/>
        <v>2.8575</v>
      </c>
      <c r="F98" s="67" t="s">
        <v>323</v>
      </c>
      <c r="G98" s="67" t="s">
        <v>476</v>
      </c>
      <c r="H98" s="74">
        <f t="shared" si="8"/>
        <v>2.8575</v>
      </c>
      <c r="I98" s="66" t="s">
        <v>325</v>
      </c>
      <c r="J98" s="66" t="s">
        <v>326</v>
      </c>
      <c r="K98" s="85"/>
      <c r="L98" s="87"/>
    </row>
    <row r="99" ht="15.75" customHeight="1">
      <c r="A99" s="67" t="s">
        <v>331</v>
      </c>
      <c r="B99" s="67" t="s">
        <v>477</v>
      </c>
      <c r="C99" s="67">
        <v>45.0</v>
      </c>
      <c r="D99" s="74">
        <v>205.73</v>
      </c>
      <c r="E99" s="74">
        <f t="shared" si="7"/>
        <v>8.572083333</v>
      </c>
      <c r="F99" s="67" t="s">
        <v>323</v>
      </c>
      <c r="G99" s="67" t="s">
        <v>478</v>
      </c>
      <c r="H99" s="74">
        <f t="shared" si="8"/>
        <v>8.572083333</v>
      </c>
      <c r="I99" s="66" t="s">
        <v>325</v>
      </c>
      <c r="J99" s="66" t="s">
        <v>326</v>
      </c>
      <c r="K99" s="85"/>
      <c r="L99" s="85"/>
    </row>
    <row r="100" ht="15.75" customHeight="1">
      <c r="A100" s="67" t="s">
        <v>335</v>
      </c>
      <c r="B100" s="67" t="s">
        <v>479</v>
      </c>
      <c r="C100" s="67">
        <v>65.0</v>
      </c>
      <c r="D100" s="74">
        <v>297.17</v>
      </c>
      <c r="E100" s="74">
        <f t="shared" si="7"/>
        <v>12.38208333</v>
      </c>
      <c r="F100" s="67" t="s">
        <v>333</v>
      </c>
      <c r="G100" s="67" t="s">
        <v>480</v>
      </c>
      <c r="H100" s="74">
        <f t="shared" si="8"/>
        <v>12.38208333</v>
      </c>
      <c r="I100" s="66" t="s">
        <v>325</v>
      </c>
      <c r="J100" s="66" t="s">
        <v>326</v>
      </c>
      <c r="K100" s="85"/>
      <c r="L100" s="87"/>
    </row>
    <row r="101" ht="15.75" customHeight="1">
      <c r="A101" s="67" t="s">
        <v>338</v>
      </c>
      <c r="B101" s="68" t="s">
        <v>481</v>
      </c>
      <c r="C101" s="67">
        <v>40.0</v>
      </c>
      <c r="D101" s="74">
        <v>182.87</v>
      </c>
      <c r="E101" s="74">
        <f t="shared" si="7"/>
        <v>7.619583333</v>
      </c>
      <c r="F101" s="67" t="s">
        <v>323</v>
      </c>
      <c r="G101" s="67" t="s">
        <v>482</v>
      </c>
      <c r="H101" s="74">
        <f t="shared" si="8"/>
        <v>7.619583333</v>
      </c>
      <c r="I101" s="66" t="s">
        <v>325</v>
      </c>
      <c r="J101" s="66" t="s">
        <v>326</v>
      </c>
      <c r="K101" s="85"/>
      <c r="L101" s="87"/>
    </row>
    <row r="102" ht="15.75" customHeight="1">
      <c r="A102" s="67" t="s">
        <v>340</v>
      </c>
      <c r="B102" s="67" t="s">
        <v>483</v>
      </c>
      <c r="C102" s="68" t="s">
        <v>484</v>
      </c>
      <c r="D102" s="74">
        <v>360.0</v>
      </c>
      <c r="E102" s="74">
        <f t="shared" si="7"/>
        <v>15</v>
      </c>
      <c r="F102" s="67" t="s">
        <v>329</v>
      </c>
      <c r="G102" s="67" t="s">
        <v>337</v>
      </c>
      <c r="H102" s="74">
        <f t="shared" si="8"/>
        <v>15</v>
      </c>
      <c r="I102" s="66" t="s">
        <v>325</v>
      </c>
      <c r="J102" s="66" t="s">
        <v>326</v>
      </c>
      <c r="K102" s="85"/>
      <c r="L102" s="87"/>
    </row>
    <row r="103" ht="15.75" customHeight="1">
      <c r="A103" s="67" t="s">
        <v>342</v>
      </c>
      <c r="B103" s="67" t="s">
        <v>485</v>
      </c>
      <c r="C103" s="68" t="s">
        <v>486</v>
      </c>
      <c r="D103" s="74">
        <v>120.0</v>
      </c>
      <c r="E103" s="74">
        <f t="shared" si="7"/>
        <v>5</v>
      </c>
      <c r="F103" s="67" t="s">
        <v>323</v>
      </c>
      <c r="G103" s="68" t="s">
        <v>324</v>
      </c>
      <c r="H103" s="74">
        <f t="shared" si="8"/>
        <v>5</v>
      </c>
      <c r="I103" s="66" t="s">
        <v>325</v>
      </c>
      <c r="J103" s="66" t="s">
        <v>326</v>
      </c>
      <c r="K103" s="66"/>
      <c r="L103" s="66"/>
    </row>
    <row r="104" ht="15.75" customHeight="1">
      <c r="A104" s="67" t="s">
        <v>344</v>
      </c>
      <c r="B104" s="67" t="s">
        <v>487</v>
      </c>
      <c r="C104" s="68" t="s">
        <v>446</v>
      </c>
      <c r="D104" s="74">
        <v>168.0</v>
      </c>
      <c r="E104" s="74">
        <f t="shared" si="7"/>
        <v>7</v>
      </c>
      <c r="F104" s="67" t="s">
        <v>333</v>
      </c>
      <c r="G104" s="68" t="s">
        <v>334</v>
      </c>
      <c r="H104" s="74">
        <f t="shared" si="8"/>
        <v>7</v>
      </c>
      <c r="I104" s="66" t="s">
        <v>325</v>
      </c>
      <c r="J104" s="66" t="s">
        <v>326</v>
      </c>
      <c r="K104" s="66"/>
      <c r="L104" s="66"/>
    </row>
    <row r="105" ht="15.75" customHeight="1">
      <c r="A105" s="67" t="s">
        <v>350</v>
      </c>
      <c r="B105" s="67" t="s">
        <v>488</v>
      </c>
      <c r="C105" s="68" t="s">
        <v>85</v>
      </c>
      <c r="D105" s="74">
        <v>312.0</v>
      </c>
      <c r="E105" s="74">
        <f t="shared" si="7"/>
        <v>13</v>
      </c>
      <c r="F105" s="67" t="s">
        <v>329</v>
      </c>
      <c r="G105" s="67" t="s">
        <v>330</v>
      </c>
      <c r="H105" s="74">
        <f t="shared" si="8"/>
        <v>13</v>
      </c>
      <c r="I105" s="66" t="s">
        <v>325</v>
      </c>
      <c r="J105" s="66" t="s">
        <v>326</v>
      </c>
      <c r="K105" s="66"/>
      <c r="L105" s="66"/>
    </row>
    <row r="106" ht="15.75" customHeight="1">
      <c r="A106" s="67" t="s">
        <v>352</v>
      </c>
      <c r="B106" s="67" t="s">
        <v>489</v>
      </c>
      <c r="C106" s="68" t="s">
        <v>490</v>
      </c>
      <c r="D106" s="74">
        <v>18.0</v>
      </c>
      <c r="E106" s="74">
        <f t="shared" si="7"/>
        <v>0.75</v>
      </c>
      <c r="F106" s="67" t="s">
        <v>329</v>
      </c>
      <c r="G106" s="67" t="s">
        <v>439</v>
      </c>
      <c r="H106" s="30">
        <f>sum(E106:E109)</f>
        <v>3</v>
      </c>
      <c r="I106" s="66" t="s">
        <v>385</v>
      </c>
      <c r="J106" s="66"/>
      <c r="K106" s="66"/>
      <c r="L106" s="66"/>
    </row>
    <row r="107" ht="15.75" customHeight="1">
      <c r="B107" s="67" t="s">
        <v>491</v>
      </c>
      <c r="C107" s="68" t="s">
        <v>82</v>
      </c>
      <c r="D107" s="74">
        <v>18.0</v>
      </c>
      <c r="E107" s="74">
        <f t="shared" si="7"/>
        <v>0.75</v>
      </c>
      <c r="F107" s="66" t="s">
        <v>359</v>
      </c>
      <c r="I107" s="66" t="s">
        <v>387</v>
      </c>
      <c r="J107" s="66"/>
      <c r="K107" s="66"/>
      <c r="L107" s="66"/>
    </row>
    <row r="108" ht="15.75" customHeight="1">
      <c r="A108" s="68"/>
      <c r="B108" s="68" t="s">
        <v>492</v>
      </c>
      <c r="C108" s="68" t="s">
        <v>493</v>
      </c>
      <c r="D108" s="74">
        <v>18.0</v>
      </c>
      <c r="E108" s="74">
        <f t="shared" si="7"/>
        <v>0.75</v>
      </c>
      <c r="F108" s="66" t="s">
        <v>359</v>
      </c>
      <c r="G108" s="68"/>
      <c r="I108" s="66" t="s">
        <v>389</v>
      </c>
      <c r="K108" s="66"/>
      <c r="L108" s="66"/>
    </row>
    <row r="109" ht="15.75" customHeight="1">
      <c r="A109" s="68"/>
      <c r="B109" s="68" t="s">
        <v>494</v>
      </c>
      <c r="C109" s="68" t="s">
        <v>495</v>
      </c>
      <c r="D109" s="74">
        <v>18.0</v>
      </c>
      <c r="E109" s="74">
        <f t="shared" si="7"/>
        <v>0.75</v>
      </c>
      <c r="F109" s="66" t="s">
        <v>359</v>
      </c>
      <c r="G109" s="68"/>
      <c r="I109" s="66" t="s">
        <v>391</v>
      </c>
      <c r="J109" s="66"/>
      <c r="K109" s="66"/>
      <c r="L109" s="66"/>
    </row>
    <row r="110" ht="15.75" customHeight="1">
      <c r="A110" s="68"/>
      <c r="B110" s="68" t="s">
        <v>496</v>
      </c>
      <c r="C110" s="68" t="s">
        <v>121</v>
      </c>
      <c r="D110" s="74">
        <v>288.0</v>
      </c>
      <c r="E110" s="74">
        <f t="shared" si="7"/>
        <v>12</v>
      </c>
      <c r="F110" s="66" t="s">
        <v>359</v>
      </c>
      <c r="J110" s="66"/>
      <c r="K110" s="66"/>
      <c r="L110" s="66"/>
    </row>
    <row r="111" ht="15.75" customHeight="1">
      <c r="A111" s="67" t="s">
        <v>373</v>
      </c>
      <c r="B111" s="66" t="s">
        <v>497</v>
      </c>
      <c r="C111" s="68" t="s">
        <v>498</v>
      </c>
      <c r="D111" s="74">
        <v>75.0</v>
      </c>
      <c r="E111" s="74">
        <f t="shared" si="7"/>
        <v>3.125</v>
      </c>
      <c r="F111" s="67" t="s">
        <v>329</v>
      </c>
      <c r="G111" s="67" t="s">
        <v>337</v>
      </c>
      <c r="H111" s="74">
        <f>sum(E112:E117)+sum(E126:E130)</f>
        <v>12.65</v>
      </c>
      <c r="I111" s="66" t="s">
        <v>393</v>
      </c>
      <c r="O111" s="68"/>
      <c r="Q111" s="66" t="s">
        <v>499</v>
      </c>
      <c r="R111" s="66" t="s">
        <v>326</v>
      </c>
    </row>
    <row r="112" ht="15.75" customHeight="1">
      <c r="A112" s="68"/>
      <c r="B112" s="66" t="s">
        <v>500</v>
      </c>
      <c r="C112" s="68" t="s">
        <v>501</v>
      </c>
      <c r="D112" s="74">
        <v>75.0</v>
      </c>
      <c r="E112" s="74">
        <f t="shared" si="7"/>
        <v>3.125</v>
      </c>
      <c r="F112" s="66" t="s">
        <v>502</v>
      </c>
      <c r="G112" s="68"/>
      <c r="H112" s="66"/>
      <c r="I112" s="66" t="s">
        <v>395</v>
      </c>
      <c r="J112" s="66"/>
      <c r="K112" s="66"/>
      <c r="L112" s="66"/>
    </row>
    <row r="113" ht="15.75" customHeight="1">
      <c r="A113" s="68"/>
      <c r="B113" s="66" t="s">
        <v>503</v>
      </c>
      <c r="C113" s="68"/>
      <c r="D113" s="74">
        <v>75.0</v>
      </c>
      <c r="E113" s="74">
        <f t="shared" si="7"/>
        <v>3.125</v>
      </c>
      <c r="F113" s="66" t="s">
        <v>502</v>
      </c>
      <c r="G113" s="68"/>
      <c r="H113" s="66"/>
      <c r="I113" s="66" t="s">
        <v>397</v>
      </c>
      <c r="J113" s="66"/>
      <c r="K113" s="66"/>
      <c r="L113" s="66"/>
    </row>
    <row r="114" ht="15.75" customHeight="1">
      <c r="A114" s="67"/>
      <c r="B114" s="68" t="s">
        <v>504</v>
      </c>
      <c r="D114" s="74"/>
      <c r="E114" s="74">
        <v>1.0</v>
      </c>
      <c r="F114" s="68" t="s">
        <v>377</v>
      </c>
      <c r="G114" s="68"/>
      <c r="H114" s="66"/>
      <c r="I114" s="66" t="s">
        <v>399</v>
      </c>
      <c r="J114" s="66"/>
      <c r="K114" s="66"/>
      <c r="L114" s="66"/>
    </row>
    <row r="115" ht="15.75" customHeight="1">
      <c r="A115" s="68"/>
      <c r="B115" s="68" t="s">
        <v>505</v>
      </c>
      <c r="D115" s="74"/>
      <c r="E115" s="74">
        <v>1.0</v>
      </c>
      <c r="F115" s="68" t="s">
        <v>377</v>
      </c>
      <c r="G115" s="68"/>
      <c r="H115" s="66"/>
      <c r="I115" s="66" t="s">
        <v>372</v>
      </c>
      <c r="J115" s="66" t="s">
        <v>326</v>
      </c>
      <c r="K115" s="66"/>
      <c r="L115" s="66"/>
    </row>
    <row r="116" ht="15.75" customHeight="1">
      <c r="A116" s="68"/>
      <c r="B116" s="68" t="s">
        <v>506</v>
      </c>
      <c r="D116" s="67"/>
      <c r="E116" s="74">
        <v>1.0</v>
      </c>
      <c r="F116" s="68" t="s">
        <v>377</v>
      </c>
      <c r="G116" s="68"/>
      <c r="H116" s="66"/>
      <c r="I116" s="3" t="s">
        <v>450</v>
      </c>
      <c r="J116" s="66"/>
      <c r="K116" s="66"/>
      <c r="L116" s="66"/>
    </row>
    <row r="117" ht="15.75" customHeight="1">
      <c r="A117" s="68"/>
      <c r="B117" s="68" t="s">
        <v>507</v>
      </c>
      <c r="D117" s="67"/>
      <c r="E117" s="74">
        <v>1.0</v>
      </c>
      <c r="F117" s="68" t="s">
        <v>377</v>
      </c>
      <c r="G117" s="68"/>
      <c r="H117" s="66"/>
      <c r="I117" s="66" t="s">
        <v>508</v>
      </c>
      <c r="J117" s="66" t="s">
        <v>326</v>
      </c>
      <c r="K117" s="66"/>
      <c r="L117" s="66"/>
    </row>
    <row r="118" ht="15.75" customHeight="1">
      <c r="A118" s="69" t="s">
        <v>380</v>
      </c>
      <c r="B118" s="76"/>
      <c r="C118" s="76"/>
      <c r="D118" s="86"/>
      <c r="E118" s="76"/>
      <c r="F118" s="86"/>
      <c r="G118" s="76"/>
      <c r="H118" s="72"/>
      <c r="I118" s="72"/>
      <c r="J118" s="66"/>
      <c r="K118" s="66"/>
      <c r="L118" s="66"/>
    </row>
    <row r="119" ht="15.75" customHeight="1">
      <c r="A119" s="67" t="s">
        <v>381</v>
      </c>
      <c r="B119" s="68" t="s">
        <v>382</v>
      </c>
      <c r="D119" s="67"/>
      <c r="E119" s="68">
        <v>20.0</v>
      </c>
      <c r="F119" s="67" t="s">
        <v>383</v>
      </c>
      <c r="G119" s="68" t="s">
        <v>419</v>
      </c>
      <c r="H119" s="66">
        <v>16.0</v>
      </c>
      <c r="I119" s="66" t="s">
        <v>509</v>
      </c>
      <c r="J119" s="66"/>
      <c r="K119" s="66"/>
      <c r="L119" s="66"/>
    </row>
    <row r="120" ht="15.75" customHeight="1">
      <c r="A120" s="67"/>
      <c r="B120" s="68" t="s">
        <v>510</v>
      </c>
      <c r="D120" s="67"/>
      <c r="E120" s="68">
        <v>20.0</v>
      </c>
      <c r="F120" s="67" t="s">
        <v>383</v>
      </c>
      <c r="G120" s="68" t="s">
        <v>337</v>
      </c>
      <c r="H120" s="66">
        <v>16.0</v>
      </c>
      <c r="I120" s="66" t="s">
        <v>511</v>
      </c>
      <c r="J120" s="66"/>
      <c r="K120" s="66"/>
      <c r="L120" s="66"/>
    </row>
    <row r="121" ht="15.75" customHeight="1">
      <c r="A121" s="67"/>
      <c r="B121" s="68" t="s">
        <v>512</v>
      </c>
      <c r="D121" s="67"/>
      <c r="E121" s="68">
        <v>20.0</v>
      </c>
      <c r="F121" s="67" t="s">
        <v>383</v>
      </c>
      <c r="G121" s="68" t="s">
        <v>337</v>
      </c>
      <c r="H121" s="66">
        <v>16.0</v>
      </c>
      <c r="I121" s="66" t="s">
        <v>513</v>
      </c>
      <c r="J121" s="66"/>
      <c r="K121" s="66"/>
      <c r="L121" s="66"/>
    </row>
    <row r="122" ht="15.75" customHeight="1">
      <c r="A122" s="67"/>
      <c r="B122" s="67"/>
      <c r="C122" s="67"/>
      <c r="D122" s="67"/>
      <c r="E122" s="68"/>
      <c r="F122" s="67"/>
      <c r="G122" s="67"/>
      <c r="H122" s="66">
        <v>16.0</v>
      </c>
      <c r="I122" s="66" t="s">
        <v>514</v>
      </c>
      <c r="J122" s="66"/>
      <c r="K122" s="66"/>
      <c r="L122" s="66"/>
    </row>
    <row r="123" ht="15.75" customHeight="1">
      <c r="A123" s="67"/>
      <c r="B123" s="67" t="s">
        <v>402</v>
      </c>
      <c r="D123" s="67"/>
      <c r="E123" s="68">
        <v>15.0</v>
      </c>
      <c r="F123" s="67" t="s">
        <v>403</v>
      </c>
      <c r="G123" s="68" t="s">
        <v>337</v>
      </c>
      <c r="H123" s="66">
        <v>16.0</v>
      </c>
      <c r="I123" s="66" t="s">
        <v>515</v>
      </c>
      <c r="J123" s="66"/>
      <c r="K123" s="66"/>
      <c r="L123" s="66"/>
    </row>
    <row r="124" ht="15.75" customHeight="1">
      <c r="A124" s="67"/>
      <c r="B124" s="67" t="s">
        <v>405</v>
      </c>
      <c r="D124" s="67"/>
      <c r="E124" s="68">
        <v>15.0</v>
      </c>
      <c r="F124" s="67" t="s">
        <v>403</v>
      </c>
      <c r="G124" s="68" t="s">
        <v>337</v>
      </c>
      <c r="H124" s="66">
        <v>16.0</v>
      </c>
      <c r="I124" s="66" t="s">
        <v>516</v>
      </c>
      <c r="J124" s="66"/>
      <c r="K124" s="66"/>
      <c r="L124" s="66"/>
    </row>
    <row r="125" ht="15.75" customHeight="1">
      <c r="A125" s="69" t="s">
        <v>420</v>
      </c>
      <c r="B125" s="86"/>
      <c r="C125" s="86"/>
      <c r="D125" s="86"/>
      <c r="E125" s="86"/>
      <c r="F125" s="86"/>
      <c r="G125" s="86"/>
      <c r="H125" s="72"/>
      <c r="I125" s="72"/>
      <c r="J125" s="66"/>
      <c r="K125" s="66"/>
      <c r="L125" s="66"/>
    </row>
    <row r="126" ht="15.75" customHeight="1">
      <c r="A126" s="67" t="s">
        <v>373</v>
      </c>
      <c r="B126" s="84" t="s">
        <v>498</v>
      </c>
      <c r="D126" s="79">
        <v>57.6</v>
      </c>
      <c r="E126" s="74">
        <f t="shared" ref="E126:E130" si="9">D126/120</f>
        <v>0.48</v>
      </c>
      <c r="F126" s="66" t="s">
        <v>383</v>
      </c>
      <c r="H126" s="74">
        <f t="shared" ref="H126:H130" si="10">E126</f>
        <v>0.48</v>
      </c>
      <c r="I126" s="66" t="s">
        <v>422</v>
      </c>
      <c r="J126" s="66"/>
      <c r="K126" s="66"/>
      <c r="L126" s="66"/>
    </row>
    <row r="127" ht="15.75" customHeight="1">
      <c r="A127" s="67"/>
      <c r="B127" s="84" t="s">
        <v>517</v>
      </c>
      <c r="D127" s="79">
        <v>57.6</v>
      </c>
      <c r="E127" s="74">
        <f t="shared" si="9"/>
        <v>0.48</v>
      </c>
      <c r="F127" s="66" t="s">
        <v>383</v>
      </c>
      <c r="H127" s="74">
        <f t="shared" si="10"/>
        <v>0.48</v>
      </c>
      <c r="I127" s="66" t="s">
        <v>425</v>
      </c>
      <c r="J127" s="66"/>
      <c r="K127" s="66"/>
      <c r="L127" s="66"/>
    </row>
    <row r="128" ht="15.75" customHeight="1">
      <c r="A128" s="67"/>
      <c r="B128" s="84" t="s">
        <v>518</v>
      </c>
      <c r="D128" s="79">
        <v>57.6</v>
      </c>
      <c r="E128" s="74">
        <f t="shared" si="9"/>
        <v>0.48</v>
      </c>
      <c r="F128" s="66" t="s">
        <v>383</v>
      </c>
      <c r="H128" s="74">
        <f t="shared" si="10"/>
        <v>0.48</v>
      </c>
      <c r="I128" s="66" t="s">
        <v>468</v>
      </c>
      <c r="J128" s="66"/>
      <c r="K128" s="66"/>
      <c r="L128" s="66"/>
    </row>
    <row r="129" ht="15.75" customHeight="1">
      <c r="A129" s="67"/>
      <c r="B129" s="84" t="s">
        <v>519</v>
      </c>
      <c r="D129" s="79">
        <v>57.6</v>
      </c>
      <c r="E129" s="74">
        <f t="shared" si="9"/>
        <v>0.48</v>
      </c>
      <c r="F129" s="66" t="s">
        <v>383</v>
      </c>
      <c r="H129" s="74">
        <f t="shared" si="10"/>
        <v>0.48</v>
      </c>
      <c r="I129" s="66" t="s">
        <v>520</v>
      </c>
      <c r="J129" s="66"/>
      <c r="K129" s="66"/>
      <c r="L129" s="66"/>
    </row>
    <row r="130" ht="15.75" customHeight="1">
      <c r="A130" s="67"/>
      <c r="B130" s="84" t="s">
        <v>521</v>
      </c>
      <c r="D130" s="79">
        <v>57.6</v>
      </c>
      <c r="E130" s="74">
        <f t="shared" si="9"/>
        <v>0.48</v>
      </c>
      <c r="F130" s="66" t="s">
        <v>383</v>
      </c>
      <c r="H130" s="74">
        <f t="shared" si="10"/>
        <v>0.48</v>
      </c>
      <c r="I130" s="66" t="s">
        <v>522</v>
      </c>
      <c r="J130" s="66"/>
      <c r="K130" s="66"/>
      <c r="L130" s="66"/>
    </row>
    <row r="131" ht="15.75" customHeight="1">
      <c r="A131" s="90"/>
      <c r="B131" s="90"/>
      <c r="C131" s="90"/>
      <c r="D131" s="90"/>
      <c r="E131" s="90"/>
      <c r="F131" s="90"/>
      <c r="G131" s="91"/>
      <c r="H131" s="90"/>
      <c r="I131" s="80"/>
      <c r="J131" s="66"/>
      <c r="K131" s="66"/>
      <c r="L131" s="66"/>
    </row>
    <row r="132" ht="15.75" customHeight="1">
      <c r="A132" s="65" t="s">
        <v>523</v>
      </c>
      <c r="D132" s="65"/>
      <c r="E132" s="65"/>
      <c r="F132" s="65"/>
      <c r="G132" s="65"/>
      <c r="H132" s="66"/>
      <c r="I132" s="66"/>
      <c r="J132" s="66"/>
      <c r="K132" s="66"/>
      <c r="L132" s="66"/>
    </row>
    <row r="133" ht="15.75" customHeight="1">
      <c r="A133" s="72" t="s">
        <v>313</v>
      </c>
      <c r="B133" s="86" t="s">
        <v>471</v>
      </c>
      <c r="C133" s="86" t="s">
        <v>472</v>
      </c>
      <c r="D133" s="86" t="s">
        <v>316</v>
      </c>
      <c r="E133" s="86" t="s">
        <v>298</v>
      </c>
      <c r="F133" s="86" t="s">
        <v>473</v>
      </c>
      <c r="G133" s="86" t="s">
        <v>319</v>
      </c>
      <c r="H133" s="72"/>
      <c r="I133" s="72"/>
      <c r="J133" s="66"/>
      <c r="K133" s="66"/>
      <c r="L133" s="66"/>
    </row>
    <row r="134" ht="15.75" customHeight="1">
      <c r="A134" s="65" t="s">
        <v>321</v>
      </c>
      <c r="B134" s="65" t="s">
        <v>524</v>
      </c>
      <c r="C134" s="65">
        <v>40.0</v>
      </c>
      <c r="D134" s="74">
        <v>182.8</v>
      </c>
      <c r="E134" s="74">
        <f t="shared" ref="E134:E141" si="11">D134/24</f>
        <v>7.616666667</v>
      </c>
      <c r="F134" s="65" t="s">
        <v>323</v>
      </c>
      <c r="G134" s="65" t="s">
        <v>525</v>
      </c>
      <c r="H134" s="74">
        <f t="shared" ref="H134:H137" si="12">E134</f>
        <v>7.616666667</v>
      </c>
      <c r="I134" s="66" t="s">
        <v>372</v>
      </c>
      <c r="J134" s="66" t="s">
        <v>326</v>
      </c>
      <c r="K134" s="66"/>
      <c r="L134" s="66"/>
    </row>
    <row r="135" ht="15.75" customHeight="1">
      <c r="A135" s="65" t="s">
        <v>327</v>
      </c>
      <c r="B135" s="65" t="s">
        <v>526</v>
      </c>
      <c r="C135" s="65">
        <v>40.0</v>
      </c>
      <c r="D135" s="74">
        <v>182.8</v>
      </c>
      <c r="E135" s="74">
        <f t="shared" si="11"/>
        <v>7.616666667</v>
      </c>
      <c r="F135" s="65" t="s">
        <v>323</v>
      </c>
      <c r="G135" s="65" t="s">
        <v>525</v>
      </c>
      <c r="H135" s="74">
        <f t="shared" si="12"/>
        <v>7.616666667</v>
      </c>
      <c r="I135" s="66" t="s">
        <v>508</v>
      </c>
      <c r="J135" s="66" t="s">
        <v>326</v>
      </c>
      <c r="K135" s="66"/>
      <c r="L135" s="66"/>
    </row>
    <row r="136" ht="15.75" customHeight="1">
      <c r="A136" s="65" t="s">
        <v>331</v>
      </c>
      <c r="B136" s="65" t="s">
        <v>527</v>
      </c>
      <c r="C136" s="65">
        <v>65.0</v>
      </c>
      <c r="D136" s="74">
        <v>297.0</v>
      </c>
      <c r="E136" s="74">
        <f t="shared" si="11"/>
        <v>12.375</v>
      </c>
      <c r="F136" s="65" t="s">
        <v>333</v>
      </c>
      <c r="G136" s="65" t="s">
        <v>330</v>
      </c>
      <c r="H136" s="74">
        <f t="shared" si="12"/>
        <v>12.375</v>
      </c>
      <c r="I136" s="3" t="s">
        <v>450</v>
      </c>
      <c r="J136" s="66"/>
      <c r="K136" s="66"/>
      <c r="L136" s="66"/>
    </row>
    <row r="137" ht="15.75" customHeight="1">
      <c r="A137" s="65" t="s">
        <v>335</v>
      </c>
      <c r="B137" s="65" t="s">
        <v>528</v>
      </c>
      <c r="C137" s="65" t="s">
        <v>529</v>
      </c>
      <c r="D137" s="74">
        <v>360.0</v>
      </c>
      <c r="E137" s="74">
        <f t="shared" si="11"/>
        <v>15</v>
      </c>
      <c r="F137" s="65" t="s">
        <v>329</v>
      </c>
      <c r="G137" s="65" t="s">
        <v>337</v>
      </c>
      <c r="H137" s="74">
        <f t="shared" si="12"/>
        <v>15</v>
      </c>
      <c r="I137" s="66" t="s">
        <v>325</v>
      </c>
      <c r="J137" s="66" t="s">
        <v>326</v>
      </c>
      <c r="K137" s="66"/>
      <c r="L137" s="66"/>
    </row>
    <row r="138" ht="15.75" customHeight="1">
      <c r="A138" s="65" t="s">
        <v>338</v>
      </c>
      <c r="B138" s="65" t="s">
        <v>530</v>
      </c>
      <c r="C138" s="65" t="s">
        <v>82</v>
      </c>
      <c r="D138" s="74">
        <v>18.0</v>
      </c>
      <c r="E138" s="74">
        <f t="shared" si="11"/>
        <v>0.75</v>
      </c>
      <c r="F138" s="65" t="s">
        <v>531</v>
      </c>
      <c r="G138" s="92">
        <f>sum(E138:E141)</f>
        <v>3.25</v>
      </c>
      <c r="H138" s="74">
        <f>sum(E138:E140)</f>
        <v>2.5</v>
      </c>
      <c r="I138" s="66" t="s">
        <v>385</v>
      </c>
      <c r="J138" s="66"/>
      <c r="K138" s="66"/>
      <c r="L138" s="66"/>
    </row>
    <row r="139" ht="15.75" customHeight="1">
      <c r="A139" s="65"/>
      <c r="B139" s="65" t="s">
        <v>532</v>
      </c>
      <c r="C139" s="65" t="s">
        <v>446</v>
      </c>
      <c r="D139" s="74">
        <v>24.0</v>
      </c>
      <c r="E139" s="74">
        <f t="shared" si="11"/>
        <v>1</v>
      </c>
      <c r="F139" s="66" t="s">
        <v>533</v>
      </c>
      <c r="G139" s="68"/>
      <c r="H139" s="66"/>
      <c r="I139" s="66" t="s">
        <v>387</v>
      </c>
      <c r="J139" s="66"/>
      <c r="K139" s="66"/>
      <c r="L139" s="66"/>
    </row>
    <row r="140" ht="15.75" customHeight="1">
      <c r="A140" s="65"/>
      <c r="B140" s="65" t="s">
        <v>534</v>
      </c>
      <c r="C140" s="65" t="s">
        <v>535</v>
      </c>
      <c r="D140" s="74">
        <v>18.0</v>
      </c>
      <c r="E140" s="74">
        <f t="shared" si="11"/>
        <v>0.75</v>
      </c>
      <c r="F140" s="66" t="s">
        <v>536</v>
      </c>
      <c r="G140" s="68"/>
      <c r="H140" s="66"/>
      <c r="I140" s="66" t="s">
        <v>389</v>
      </c>
      <c r="J140" s="66"/>
      <c r="K140" s="66"/>
      <c r="L140" s="66"/>
    </row>
    <row r="141" ht="15.75" customHeight="1">
      <c r="A141" s="65"/>
      <c r="B141" s="65" t="s">
        <v>537</v>
      </c>
      <c r="C141" s="65" t="s">
        <v>538</v>
      </c>
      <c r="D141" s="74">
        <v>18.0</v>
      </c>
      <c r="E141" s="74">
        <f t="shared" si="11"/>
        <v>0.75</v>
      </c>
      <c r="F141" s="66" t="s">
        <v>442</v>
      </c>
      <c r="G141" s="68"/>
      <c r="H141" s="66"/>
      <c r="I141" s="66" t="s">
        <v>391</v>
      </c>
      <c r="J141" s="66"/>
      <c r="K141" s="66"/>
      <c r="L141" s="66"/>
    </row>
    <row r="142" ht="15.75" customHeight="1">
      <c r="A142" s="69" t="s">
        <v>380</v>
      </c>
      <c r="B142" s="76"/>
      <c r="C142" s="76"/>
      <c r="D142" s="86"/>
      <c r="E142" s="76"/>
      <c r="F142" s="86"/>
      <c r="G142" s="76"/>
      <c r="H142" s="72"/>
      <c r="I142" s="72"/>
      <c r="J142" s="66"/>
      <c r="K142" s="66"/>
      <c r="L142" s="66"/>
    </row>
    <row r="143" ht="15.75" customHeight="1">
      <c r="A143" s="65" t="s">
        <v>340</v>
      </c>
      <c r="B143" s="65" t="s">
        <v>539</v>
      </c>
      <c r="C143" s="65"/>
      <c r="D143" s="74"/>
      <c r="E143" s="74">
        <v>20.0</v>
      </c>
      <c r="F143" s="67" t="s">
        <v>383</v>
      </c>
      <c r="G143" s="65" t="s">
        <v>330</v>
      </c>
      <c r="H143" s="66">
        <v>16.0</v>
      </c>
      <c r="I143" s="66" t="s">
        <v>515</v>
      </c>
      <c r="J143" s="66"/>
      <c r="K143" s="66"/>
      <c r="L143" s="66"/>
    </row>
    <row r="144" ht="15.75" customHeight="1">
      <c r="A144" s="65" t="s">
        <v>342</v>
      </c>
      <c r="B144" s="65" t="s">
        <v>540</v>
      </c>
      <c r="C144" s="65"/>
      <c r="D144" s="74"/>
      <c r="E144" s="74">
        <v>20.0</v>
      </c>
      <c r="F144" s="67" t="s">
        <v>383</v>
      </c>
      <c r="G144" s="65" t="s">
        <v>330</v>
      </c>
      <c r="H144" s="66">
        <v>16.0</v>
      </c>
      <c r="I144" s="66" t="s">
        <v>516</v>
      </c>
      <c r="J144" s="66"/>
      <c r="K144" s="66"/>
      <c r="L144" s="66"/>
    </row>
    <row r="145" ht="15.75" customHeight="1">
      <c r="A145" s="65" t="s">
        <v>344</v>
      </c>
      <c r="B145" s="65" t="s">
        <v>402</v>
      </c>
      <c r="D145" s="74"/>
      <c r="E145" s="74">
        <v>16.0</v>
      </c>
      <c r="F145" s="65" t="s">
        <v>403</v>
      </c>
      <c r="G145" s="65" t="s">
        <v>330</v>
      </c>
      <c r="H145" s="66">
        <v>16.0</v>
      </c>
      <c r="I145" s="66" t="s">
        <v>515</v>
      </c>
      <c r="J145" s="66"/>
      <c r="K145" s="66"/>
      <c r="L145" s="66"/>
    </row>
    <row r="146" ht="15.75" customHeight="1">
      <c r="A146" s="65" t="s">
        <v>350</v>
      </c>
      <c r="B146" s="65" t="s">
        <v>402</v>
      </c>
      <c r="D146" s="74"/>
      <c r="E146" s="74">
        <v>16.0</v>
      </c>
      <c r="F146" s="65" t="s">
        <v>403</v>
      </c>
      <c r="G146" s="65" t="s">
        <v>330</v>
      </c>
      <c r="H146" s="66">
        <v>16.0</v>
      </c>
      <c r="I146" s="66" t="s">
        <v>516</v>
      </c>
      <c r="J146" s="66"/>
      <c r="K146" s="66"/>
      <c r="L146" s="66"/>
    </row>
    <row r="147" ht="15.75" customHeight="1">
      <c r="A147" s="65" t="s">
        <v>352</v>
      </c>
      <c r="B147" s="65" t="s">
        <v>405</v>
      </c>
      <c r="D147" s="74"/>
      <c r="E147" s="74">
        <v>30.0</v>
      </c>
      <c r="F147" s="65" t="s">
        <v>403</v>
      </c>
      <c r="G147" s="65" t="s">
        <v>416</v>
      </c>
      <c r="H147" s="66">
        <v>30.0</v>
      </c>
      <c r="I147" s="66"/>
      <c r="J147" s="66"/>
      <c r="K147" s="66"/>
      <c r="L147" s="66"/>
    </row>
    <row r="148" ht="15.75" customHeight="1">
      <c r="A148" s="80"/>
      <c r="B148" s="80"/>
      <c r="C148" s="80"/>
      <c r="D148" s="82"/>
      <c r="E148" s="82"/>
      <c r="F148" s="80"/>
      <c r="G148" s="80"/>
      <c r="H148" s="80"/>
      <c r="I148" s="80"/>
      <c r="J148" s="66"/>
      <c r="K148" s="66"/>
      <c r="L148" s="66"/>
    </row>
    <row r="149" ht="15.75" customHeight="1">
      <c r="A149" s="93" t="s">
        <v>541</v>
      </c>
      <c r="B149" s="93" t="s">
        <v>542</v>
      </c>
      <c r="C149" s="93" t="s">
        <v>543</v>
      </c>
      <c r="D149" s="93" t="s">
        <v>544</v>
      </c>
      <c r="E149" s="93" t="s">
        <v>545</v>
      </c>
      <c r="F149" s="93" t="s">
        <v>546</v>
      </c>
      <c r="G149" s="93" t="s">
        <v>547</v>
      </c>
      <c r="H149" s="93" t="s">
        <v>548</v>
      </c>
      <c r="I149" s="93" t="s">
        <v>549</v>
      </c>
      <c r="J149" s="93" t="s">
        <v>550</v>
      </c>
      <c r="K149" s="93" t="s">
        <v>551</v>
      </c>
      <c r="L149" s="93" t="s">
        <v>552</v>
      </c>
      <c r="M149" s="93" t="s">
        <v>177</v>
      </c>
      <c r="N149" s="93" t="s">
        <v>553</v>
      </c>
      <c r="O149" s="93" t="s">
        <v>554</v>
      </c>
      <c r="P149" s="93" t="s">
        <v>555</v>
      </c>
      <c r="Q149" s="93" t="s">
        <v>556</v>
      </c>
      <c r="R149" s="93" t="s">
        <v>295</v>
      </c>
      <c r="S149" s="93" t="s">
        <v>557</v>
      </c>
      <c r="T149" s="93" t="s">
        <v>558</v>
      </c>
      <c r="U149" s="84"/>
      <c r="V149" s="84"/>
    </row>
    <row r="150" ht="15.75" customHeight="1">
      <c r="A150" s="84" t="s">
        <v>498</v>
      </c>
      <c r="B150" s="79">
        <v>159.0</v>
      </c>
      <c r="C150" s="79">
        <v>268.5</v>
      </c>
      <c r="D150" s="84" t="s">
        <v>559</v>
      </c>
      <c r="E150" s="84" t="s">
        <v>560</v>
      </c>
      <c r="F150" s="84" t="s">
        <v>561</v>
      </c>
      <c r="G150" s="84" t="s">
        <v>562</v>
      </c>
      <c r="H150" s="79">
        <v>0.48</v>
      </c>
      <c r="I150" s="79">
        <v>57.6</v>
      </c>
      <c r="J150" s="79">
        <v>4.72</v>
      </c>
      <c r="K150" s="79">
        <v>5.51</v>
      </c>
      <c r="L150" s="79">
        <v>8.0</v>
      </c>
      <c r="M150" s="84" t="s">
        <v>563</v>
      </c>
      <c r="N150" s="84" t="s">
        <v>564</v>
      </c>
      <c r="O150" s="84" t="s">
        <v>565</v>
      </c>
      <c r="P150" s="79">
        <v>0.48</v>
      </c>
      <c r="Q150" s="79">
        <v>57.6</v>
      </c>
      <c r="R150" s="84" t="s">
        <v>566</v>
      </c>
      <c r="S150" s="79">
        <v>1.0</v>
      </c>
      <c r="T150" s="84" t="s">
        <v>567</v>
      </c>
      <c r="U150" s="84"/>
      <c r="V150" s="84"/>
    </row>
    <row r="151" ht="15.75" customHeight="1">
      <c r="A151" s="84" t="s">
        <v>517</v>
      </c>
      <c r="B151" s="79">
        <v>96.0</v>
      </c>
      <c r="C151" s="79">
        <v>268.5</v>
      </c>
      <c r="D151" s="84" t="s">
        <v>559</v>
      </c>
      <c r="E151" s="84" t="s">
        <v>560</v>
      </c>
      <c r="F151" s="84" t="s">
        <v>561</v>
      </c>
      <c r="G151" s="84" t="s">
        <v>562</v>
      </c>
      <c r="H151" s="79">
        <v>0.48</v>
      </c>
      <c r="I151" s="79">
        <v>57.6</v>
      </c>
      <c r="J151" s="79">
        <v>4.72</v>
      </c>
      <c r="K151" s="79">
        <v>5.51</v>
      </c>
      <c r="L151" s="79">
        <v>8.0</v>
      </c>
      <c r="M151" s="84" t="s">
        <v>563</v>
      </c>
      <c r="N151" s="84" t="s">
        <v>564</v>
      </c>
      <c r="O151" s="84" t="s">
        <v>565</v>
      </c>
      <c r="P151" s="79">
        <v>0.96</v>
      </c>
      <c r="Q151" s="79">
        <v>115.2</v>
      </c>
      <c r="R151" s="84" t="s">
        <v>566</v>
      </c>
      <c r="S151" s="79">
        <v>1.0</v>
      </c>
      <c r="T151" s="84" t="s">
        <v>568</v>
      </c>
      <c r="U151" s="84"/>
      <c r="V151" s="84"/>
    </row>
    <row r="152" ht="15.75" customHeight="1">
      <c r="A152" s="84" t="s">
        <v>569</v>
      </c>
      <c r="B152" s="79">
        <v>268.0</v>
      </c>
      <c r="C152" s="79">
        <v>314.5</v>
      </c>
      <c r="D152" s="84" t="s">
        <v>559</v>
      </c>
      <c r="E152" s="84" t="s">
        <v>570</v>
      </c>
      <c r="F152" s="84" t="s">
        <v>571</v>
      </c>
      <c r="G152" s="84" t="s">
        <v>572</v>
      </c>
      <c r="H152" s="79">
        <v>0.48</v>
      </c>
      <c r="I152" s="79">
        <v>57.6</v>
      </c>
      <c r="J152" s="79">
        <v>4.84</v>
      </c>
      <c r="K152" s="79">
        <v>5.73</v>
      </c>
      <c r="L152" s="79">
        <v>10.0</v>
      </c>
      <c r="M152" s="84" t="s">
        <v>563</v>
      </c>
      <c r="N152" s="84" t="s">
        <v>564</v>
      </c>
      <c r="O152" s="84" t="s">
        <v>565</v>
      </c>
      <c r="P152" s="79">
        <v>1.44</v>
      </c>
      <c r="Q152" s="79">
        <v>172.8</v>
      </c>
      <c r="R152" s="84" t="s">
        <v>566</v>
      </c>
      <c r="S152" s="79">
        <v>2.0</v>
      </c>
      <c r="T152" s="84" t="s">
        <v>567</v>
      </c>
      <c r="U152" s="84"/>
      <c r="V152" s="84"/>
    </row>
    <row r="153" ht="15.75" customHeight="1">
      <c r="A153" s="84" t="s">
        <v>573</v>
      </c>
      <c r="B153" s="79">
        <v>120.0</v>
      </c>
      <c r="C153" s="79">
        <v>207.0</v>
      </c>
      <c r="D153" s="84" t="s">
        <v>559</v>
      </c>
      <c r="E153" s="84" t="s">
        <v>560</v>
      </c>
      <c r="F153" s="84" t="s">
        <v>561</v>
      </c>
      <c r="G153" s="84" t="s">
        <v>562</v>
      </c>
      <c r="H153" s="79">
        <v>0.48</v>
      </c>
      <c r="I153" s="79">
        <v>57.6</v>
      </c>
      <c r="J153" s="79">
        <v>4.55</v>
      </c>
      <c r="K153" s="79">
        <v>5.19</v>
      </c>
      <c r="L153" s="79">
        <v>8.0</v>
      </c>
      <c r="M153" s="84" t="s">
        <v>563</v>
      </c>
      <c r="N153" s="84" t="s">
        <v>564</v>
      </c>
      <c r="O153" s="84" t="s">
        <v>565</v>
      </c>
      <c r="P153" s="79">
        <v>1.92</v>
      </c>
      <c r="Q153" s="79">
        <v>230.4</v>
      </c>
      <c r="R153" s="84" t="s">
        <v>566</v>
      </c>
      <c r="S153" s="79">
        <v>2.0</v>
      </c>
      <c r="T153" s="84" t="s">
        <v>568</v>
      </c>
      <c r="U153" s="84"/>
      <c r="V153" s="84"/>
    </row>
    <row r="154" ht="15.75" customHeight="1">
      <c r="A154" s="84" t="s">
        <v>574</v>
      </c>
      <c r="B154" s="79">
        <v>120.0</v>
      </c>
      <c r="C154" s="79">
        <v>209.75</v>
      </c>
      <c r="D154" s="84" t="s">
        <v>559</v>
      </c>
      <c r="E154" s="84" t="s">
        <v>560</v>
      </c>
      <c r="F154" s="84" t="s">
        <v>561</v>
      </c>
      <c r="G154" s="84" t="s">
        <v>562</v>
      </c>
      <c r="H154" s="79">
        <v>0.48</v>
      </c>
      <c r="I154" s="79">
        <v>57.6</v>
      </c>
      <c r="J154" s="79">
        <v>4.56</v>
      </c>
      <c r="K154" s="79">
        <v>5.2</v>
      </c>
      <c r="L154" s="79">
        <v>8.0</v>
      </c>
      <c r="M154" s="84" t="s">
        <v>563</v>
      </c>
      <c r="N154" s="84" t="s">
        <v>564</v>
      </c>
      <c r="O154" s="84" t="s">
        <v>565</v>
      </c>
      <c r="P154" s="79">
        <v>2.4</v>
      </c>
      <c r="Q154" s="79">
        <v>288.0</v>
      </c>
      <c r="R154" s="84" t="s">
        <v>566</v>
      </c>
      <c r="S154" s="79">
        <v>3.0</v>
      </c>
      <c r="T154" s="84" t="s">
        <v>567</v>
      </c>
      <c r="U154" s="84"/>
      <c r="V154" s="84"/>
    </row>
    <row r="155" ht="15.75" customHeight="1">
      <c r="A155" s="84" t="s">
        <v>518</v>
      </c>
      <c r="B155" s="79">
        <v>144.0</v>
      </c>
      <c r="C155" s="79">
        <v>236.75</v>
      </c>
      <c r="D155" s="84" t="s">
        <v>559</v>
      </c>
      <c r="E155" s="84" t="s">
        <v>560</v>
      </c>
      <c r="F155" s="84" t="s">
        <v>561</v>
      </c>
      <c r="G155" s="84" t="s">
        <v>562</v>
      </c>
      <c r="H155" s="79">
        <v>0.48</v>
      </c>
      <c r="I155" s="79">
        <v>57.6</v>
      </c>
      <c r="J155" s="79">
        <v>4.63</v>
      </c>
      <c r="K155" s="79">
        <v>5.35</v>
      </c>
      <c r="L155" s="79">
        <v>8.0</v>
      </c>
      <c r="M155" s="84" t="s">
        <v>563</v>
      </c>
      <c r="N155" s="84" t="s">
        <v>564</v>
      </c>
      <c r="O155" s="84" t="s">
        <v>565</v>
      </c>
      <c r="P155" s="79">
        <v>2.88</v>
      </c>
      <c r="Q155" s="79">
        <v>345.6</v>
      </c>
      <c r="R155" s="84" t="s">
        <v>566</v>
      </c>
      <c r="S155" s="79">
        <v>3.0</v>
      </c>
      <c r="T155" s="84" t="s">
        <v>568</v>
      </c>
      <c r="U155" s="84"/>
      <c r="V155" s="84"/>
    </row>
    <row r="156" ht="15.75" customHeight="1">
      <c r="A156" s="84" t="s">
        <v>519</v>
      </c>
      <c r="B156" s="79">
        <v>120.0</v>
      </c>
      <c r="C156" s="79">
        <v>110.5</v>
      </c>
      <c r="D156" s="84" t="s">
        <v>575</v>
      </c>
      <c r="E156" s="84" t="s">
        <v>576</v>
      </c>
      <c r="F156" s="84" t="s">
        <v>577</v>
      </c>
      <c r="G156" s="84" t="s">
        <v>578</v>
      </c>
      <c r="H156" s="79">
        <v>0.35</v>
      </c>
      <c r="I156" s="79">
        <v>42.0</v>
      </c>
      <c r="J156" s="79">
        <v>2.89</v>
      </c>
      <c r="K156" s="79">
        <v>3.42</v>
      </c>
      <c r="L156" s="79">
        <v>6.0</v>
      </c>
      <c r="M156" s="84" t="s">
        <v>563</v>
      </c>
      <c r="N156" s="84" t="s">
        <v>564</v>
      </c>
      <c r="O156" s="84" t="s">
        <v>579</v>
      </c>
      <c r="P156" s="79">
        <v>3.23</v>
      </c>
      <c r="Q156" s="79">
        <v>387.6</v>
      </c>
      <c r="R156" s="84" t="s">
        <v>566</v>
      </c>
      <c r="S156" s="79">
        <v>4.0</v>
      </c>
      <c r="T156" s="84" t="s">
        <v>567</v>
      </c>
      <c r="U156" s="84"/>
      <c r="V156" s="84"/>
    </row>
    <row r="157" ht="15.75" customHeight="1">
      <c r="A157" s="84" t="s">
        <v>466</v>
      </c>
      <c r="B157" s="79">
        <v>120.0</v>
      </c>
      <c r="C157" s="79">
        <v>161.5</v>
      </c>
      <c r="D157" s="84" t="s">
        <v>575</v>
      </c>
      <c r="E157" s="84" t="s">
        <v>576</v>
      </c>
      <c r="F157" s="84" t="s">
        <v>577</v>
      </c>
      <c r="G157" s="84" t="s">
        <v>578</v>
      </c>
      <c r="H157" s="79">
        <v>0.35</v>
      </c>
      <c r="I157" s="79">
        <v>42.0</v>
      </c>
      <c r="J157" s="79">
        <v>3.1</v>
      </c>
      <c r="K157" s="79">
        <v>3.8</v>
      </c>
      <c r="L157" s="79">
        <v>6.0</v>
      </c>
      <c r="M157" s="84" t="s">
        <v>563</v>
      </c>
      <c r="N157" s="84" t="s">
        <v>564</v>
      </c>
      <c r="O157" s="84" t="s">
        <v>565</v>
      </c>
      <c r="P157" s="79">
        <v>3.58</v>
      </c>
      <c r="Q157" s="79">
        <v>429.6</v>
      </c>
      <c r="R157" s="84" t="s">
        <v>566</v>
      </c>
      <c r="S157" s="79">
        <v>4.0</v>
      </c>
      <c r="T157" s="84" t="s">
        <v>568</v>
      </c>
      <c r="U157" s="84"/>
      <c r="V157" s="84"/>
    </row>
    <row r="158" ht="15.75" customHeight="1">
      <c r="A158" s="84" t="s">
        <v>467</v>
      </c>
      <c r="B158" s="79">
        <v>120.0</v>
      </c>
      <c r="C158" s="79">
        <v>228.5</v>
      </c>
      <c r="D158" s="84" t="s">
        <v>559</v>
      </c>
      <c r="E158" s="84" t="s">
        <v>560</v>
      </c>
      <c r="F158" s="84" t="s">
        <v>561</v>
      </c>
      <c r="G158" s="84" t="s">
        <v>562</v>
      </c>
      <c r="H158" s="79">
        <v>0.48</v>
      </c>
      <c r="I158" s="79">
        <v>57.6</v>
      </c>
      <c r="J158" s="79">
        <v>4.61</v>
      </c>
      <c r="K158" s="79">
        <v>5.3</v>
      </c>
      <c r="L158" s="79">
        <v>8.0</v>
      </c>
      <c r="M158" s="84" t="s">
        <v>563</v>
      </c>
      <c r="N158" s="84" t="s">
        <v>564</v>
      </c>
      <c r="O158" s="84" t="s">
        <v>565</v>
      </c>
      <c r="P158" s="79">
        <v>4.06</v>
      </c>
      <c r="Q158" s="79">
        <v>487.2</v>
      </c>
      <c r="R158" s="84" t="s">
        <v>566</v>
      </c>
      <c r="S158" s="79">
        <v>5.0</v>
      </c>
      <c r="T158" s="84" t="s">
        <v>567</v>
      </c>
      <c r="U158" s="84"/>
      <c r="V158" s="84"/>
    </row>
    <row r="159" ht="15.75" customHeight="1">
      <c r="A159" s="84" t="s">
        <v>521</v>
      </c>
      <c r="B159" s="79">
        <v>91.0</v>
      </c>
      <c r="C159" s="79">
        <v>113.25</v>
      </c>
      <c r="D159" s="84" t="s">
        <v>575</v>
      </c>
      <c r="E159" s="84" t="s">
        <v>576</v>
      </c>
      <c r="F159" s="84" t="s">
        <v>577</v>
      </c>
      <c r="G159" s="84" t="s">
        <v>578</v>
      </c>
      <c r="H159" s="79">
        <v>0.35</v>
      </c>
      <c r="I159" s="79">
        <v>42.0</v>
      </c>
      <c r="J159" s="79">
        <v>2.9</v>
      </c>
      <c r="K159" s="79">
        <v>3.44</v>
      </c>
      <c r="L159" s="79">
        <v>6.0</v>
      </c>
      <c r="M159" s="84" t="s">
        <v>563</v>
      </c>
      <c r="N159" s="84" t="s">
        <v>564</v>
      </c>
      <c r="O159" s="84" t="s">
        <v>579</v>
      </c>
      <c r="P159" s="79">
        <v>4.41</v>
      </c>
      <c r="Q159" s="79">
        <v>529.2</v>
      </c>
      <c r="R159" s="84" t="s">
        <v>566</v>
      </c>
      <c r="S159" s="79">
        <v>5.0</v>
      </c>
      <c r="T159" s="84" t="s">
        <v>568</v>
      </c>
      <c r="U159" s="84"/>
      <c r="V159" s="84"/>
    </row>
    <row r="160" ht="15.75" customHeight="1">
      <c r="A160" s="84" t="s">
        <v>465</v>
      </c>
      <c r="B160" s="79">
        <v>119.0</v>
      </c>
      <c r="C160" s="79">
        <v>234.0</v>
      </c>
      <c r="D160" s="84" t="s">
        <v>559</v>
      </c>
      <c r="E160" s="84" t="s">
        <v>560</v>
      </c>
      <c r="F160" s="84" t="s">
        <v>561</v>
      </c>
      <c r="G160" s="84" t="s">
        <v>562</v>
      </c>
      <c r="H160" s="79">
        <v>0.48</v>
      </c>
      <c r="I160" s="79">
        <v>57.6</v>
      </c>
      <c r="J160" s="79">
        <v>4.62</v>
      </c>
      <c r="K160" s="79">
        <v>5.33</v>
      </c>
      <c r="L160" s="79">
        <v>8.0</v>
      </c>
      <c r="M160" s="84" t="s">
        <v>563</v>
      </c>
      <c r="N160" s="84" t="s">
        <v>564</v>
      </c>
      <c r="O160" s="84" t="s">
        <v>565</v>
      </c>
      <c r="P160" s="79">
        <v>4.89</v>
      </c>
      <c r="Q160" s="79">
        <v>586.8</v>
      </c>
      <c r="R160" s="84" t="s">
        <v>566</v>
      </c>
      <c r="S160" s="79">
        <v>6.0</v>
      </c>
      <c r="T160" s="84" t="s">
        <v>567</v>
      </c>
      <c r="U160" s="84"/>
      <c r="V160" s="84"/>
    </row>
    <row r="161" ht="15.75" customHeight="1">
      <c r="A161" s="84" t="s">
        <v>580</v>
      </c>
      <c r="B161" s="84"/>
      <c r="C161" s="84"/>
      <c r="D161" s="84"/>
      <c r="E161" s="84" t="s">
        <v>581</v>
      </c>
      <c r="G161" s="84"/>
      <c r="H161" s="79">
        <v>4.89</v>
      </c>
      <c r="I161" s="79">
        <v>586.8</v>
      </c>
      <c r="J161" s="84"/>
      <c r="K161" s="84"/>
      <c r="L161" s="84"/>
      <c r="M161" s="84" t="s">
        <v>582</v>
      </c>
      <c r="N161" s="84" t="s">
        <v>583</v>
      </c>
      <c r="P161" s="79">
        <v>4.89</v>
      </c>
      <c r="Q161" s="79">
        <v>586.8</v>
      </c>
      <c r="R161" s="84" t="s">
        <v>584</v>
      </c>
      <c r="S161" s="79">
        <v>6.0</v>
      </c>
      <c r="T161" s="84" t="s">
        <v>585</v>
      </c>
    </row>
    <row r="162" ht="15.75" customHeight="1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</row>
    <row r="163" ht="15.75" customHeight="1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</row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F2:G2"/>
    <mergeCell ref="F3:G3"/>
    <mergeCell ref="F4:G4"/>
    <mergeCell ref="F5:G5"/>
    <mergeCell ref="A9:C9"/>
    <mergeCell ref="A55:C55"/>
    <mergeCell ref="A94:C94"/>
    <mergeCell ref="B114:C114"/>
    <mergeCell ref="B115:C115"/>
    <mergeCell ref="B116:C116"/>
    <mergeCell ref="B117:C117"/>
    <mergeCell ref="B119:C119"/>
    <mergeCell ref="B120:C120"/>
    <mergeCell ref="B121:C121"/>
    <mergeCell ref="N161:O161"/>
    <mergeCell ref="T161:V161"/>
    <mergeCell ref="B123:C123"/>
    <mergeCell ref="B124:C124"/>
    <mergeCell ref="A132:C132"/>
    <mergeCell ref="B145:C145"/>
    <mergeCell ref="B146:C146"/>
    <mergeCell ref="B147:C147"/>
    <mergeCell ref="E161:F16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1"/>
  <cols>
    <col customWidth="1" min="1" max="1" width="31.38"/>
    <col customWidth="1" min="2" max="2" width="19.0"/>
    <col customWidth="1" min="3" max="3" width="23.88"/>
    <col customWidth="1" min="4" max="4" width="12.63"/>
    <col customWidth="1" min="5" max="5" width="14.75"/>
    <col customWidth="1" min="6" max="6" width="6.5"/>
    <col customWidth="1" min="7" max="7" width="9.88"/>
  </cols>
  <sheetData>
    <row r="1" ht="15.75" customHeight="1">
      <c r="A1" s="94" t="s">
        <v>586</v>
      </c>
      <c r="B1" s="94" t="s">
        <v>587</v>
      </c>
      <c r="C1" s="94" t="s">
        <v>588</v>
      </c>
      <c r="D1" s="60"/>
      <c r="E1" s="95"/>
      <c r="F1" s="60"/>
      <c r="G1" s="95"/>
      <c r="H1" s="60"/>
      <c r="I1" s="96"/>
    </row>
    <row r="2" ht="15.75" customHeight="1">
      <c r="A2" s="2" t="s">
        <v>589</v>
      </c>
      <c r="B2" s="94" t="s">
        <v>590</v>
      </c>
      <c r="C2" s="94" t="s">
        <v>591</v>
      </c>
      <c r="D2" s="97" t="s">
        <v>15</v>
      </c>
      <c r="E2" s="95"/>
      <c r="F2" s="60"/>
      <c r="G2" s="95"/>
      <c r="H2" s="60"/>
      <c r="I2" s="60"/>
    </row>
    <row r="3" ht="15.75" customHeight="1">
      <c r="A3" s="94" t="s">
        <v>592</v>
      </c>
      <c r="B3" s="94" t="s">
        <v>593</v>
      </c>
      <c r="C3" s="94" t="s">
        <v>170</v>
      </c>
      <c r="D3" s="97" t="s">
        <v>170</v>
      </c>
      <c r="E3" s="95"/>
      <c r="F3" s="60"/>
      <c r="G3" s="95"/>
      <c r="H3" s="60"/>
      <c r="I3" s="60"/>
    </row>
    <row r="4" ht="15.75" customHeight="1">
      <c r="A4" s="98" t="s">
        <v>594</v>
      </c>
      <c r="B4" s="94"/>
      <c r="C4" s="94" t="s">
        <v>595</v>
      </c>
      <c r="D4" s="97" t="s">
        <v>595</v>
      </c>
      <c r="E4" s="99"/>
      <c r="F4" s="60"/>
      <c r="G4" s="95"/>
      <c r="H4" s="60"/>
      <c r="I4" s="60"/>
    </row>
    <row r="5" ht="15.75" customHeight="1">
      <c r="A5" s="94" t="s">
        <v>596</v>
      </c>
      <c r="B5" s="94"/>
      <c r="C5" s="94" t="s">
        <v>597</v>
      </c>
      <c r="D5" s="97" t="s">
        <v>598</v>
      </c>
      <c r="E5" s="95"/>
      <c r="F5" s="60"/>
      <c r="G5" s="95"/>
      <c r="H5" s="60"/>
      <c r="I5" s="60"/>
    </row>
    <row r="6" ht="15.75" customHeight="1">
      <c r="A6" s="60"/>
      <c r="B6" s="60"/>
      <c r="C6" s="94" t="s">
        <v>599</v>
      </c>
      <c r="D6" s="97" t="s">
        <v>599</v>
      </c>
      <c r="E6" s="95"/>
      <c r="F6" s="60"/>
      <c r="G6" s="95"/>
      <c r="H6" s="60"/>
      <c r="I6" s="60"/>
    </row>
    <row r="7" ht="15.75" customHeight="1">
      <c r="A7" s="94" t="s">
        <v>600</v>
      </c>
      <c r="B7" s="94"/>
      <c r="C7" s="100" t="s">
        <v>601</v>
      </c>
      <c r="D7" s="60"/>
      <c r="E7" s="101" t="s">
        <v>602</v>
      </c>
      <c r="F7" s="94" t="s">
        <v>603</v>
      </c>
      <c r="G7" s="101" t="s">
        <v>604</v>
      </c>
      <c r="H7" s="94" t="s">
        <v>605</v>
      </c>
      <c r="I7" s="94" t="s">
        <v>606</v>
      </c>
    </row>
    <row r="8" ht="15.75" customHeight="1">
      <c r="A8" s="94" t="s">
        <v>607</v>
      </c>
      <c r="B8" s="60"/>
      <c r="C8" s="102">
        <f>AVERAGE(C9:C135)</f>
        <v>0.9410413386</v>
      </c>
      <c r="D8" s="103" t="str">
        <f>IFERROR(__xludf.DUMMYFUNCTION("SPARKLINE(C8,{""charttype"",""bar"";""max"",1})"),"")</f>
        <v/>
      </c>
      <c r="E8" s="104">
        <f>min(E9:E135)</f>
        <v>45292</v>
      </c>
      <c r="F8" s="105">
        <f t="shared" ref="F8:F9" si="1">G8-E8</f>
        <v>235</v>
      </c>
      <c r="G8" s="106">
        <f>MAX(G9:G135)</f>
        <v>45527</v>
      </c>
      <c r="H8" s="94">
        <f>sum(H9:H138)</f>
        <v>128</v>
      </c>
      <c r="I8" s="96"/>
    </row>
    <row r="9" ht="15.75" customHeight="1" collapsed="1">
      <c r="A9" s="94" t="s">
        <v>608</v>
      </c>
      <c r="B9" s="60"/>
      <c r="C9" s="107">
        <f>AVERAGE(C10:C16)</f>
        <v>1</v>
      </c>
      <c r="D9" s="103" t="str">
        <f>IFERROR(__xludf.DUMMYFUNCTION("SPARKLINE(C9,{""charttype"",""bar"";""max"",1})"),"")</f>
        <v/>
      </c>
      <c r="E9" s="108">
        <f>min(E10:E16)</f>
        <v>45292</v>
      </c>
      <c r="F9" s="109">
        <f t="shared" si="1"/>
        <v>24</v>
      </c>
      <c r="G9" s="108">
        <f>MAX(G10:G16)</f>
        <v>45316</v>
      </c>
      <c r="H9" s="94">
        <f>SUM(H10:H19)</f>
        <v>0</v>
      </c>
      <c r="I9" s="96"/>
    </row>
    <row r="10" ht="15.75" hidden="1" customHeight="1" outlineLevel="1">
      <c r="A10" s="110" t="s">
        <v>609</v>
      </c>
      <c r="B10" s="60"/>
      <c r="C10" s="107">
        <v>1.0</v>
      </c>
      <c r="D10" s="103" t="str">
        <f>IFERROR(__xludf.DUMMYFUNCTION("SPARKLINE(C10,{""charttype"",""bar"";""max"",1})"),"")</f>
        <v/>
      </c>
      <c r="E10" s="111">
        <v>45292.0</v>
      </c>
      <c r="F10" s="42">
        <v>1.0</v>
      </c>
      <c r="G10" s="111">
        <f t="shared" ref="G10:G17" si="2">if(F10=0,G9, workday(E10,F10-1))+WORKDAY(H10,H9)</f>
        <v>45292</v>
      </c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15.75" hidden="1" customHeight="1" outlineLevel="1">
      <c r="A11" s="110" t="s">
        <v>169</v>
      </c>
      <c r="B11" s="60"/>
      <c r="C11" s="107">
        <v>1.0</v>
      </c>
      <c r="D11" s="103" t="str">
        <f>IFERROR(__xludf.DUMMYFUNCTION("SPARKLINE(C11,{""charttype"",""bar"";""max"",1})"),"")</f>
        <v/>
      </c>
      <c r="E11" s="111">
        <v>45293.0</v>
      </c>
      <c r="F11" s="42">
        <v>0.0</v>
      </c>
      <c r="G11" s="111">
        <f t="shared" si="2"/>
        <v>45292</v>
      </c>
      <c r="H11" s="60"/>
      <c r="I11" s="96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15.75" hidden="1" customHeight="1" outlineLevel="1">
      <c r="A12" s="110" t="s">
        <v>610</v>
      </c>
      <c r="B12" s="60"/>
      <c r="C12" s="107">
        <v>1.0</v>
      </c>
      <c r="D12" s="103" t="str">
        <f>IFERROR(__xludf.DUMMYFUNCTION("SPARKLINE(C12,{""charttype"",""bar"";""max"",1})"),"")</f>
        <v/>
      </c>
      <c r="E12" s="111">
        <v>45294.0</v>
      </c>
      <c r="F12" s="42">
        <v>0.0</v>
      </c>
      <c r="G12" s="111">
        <f t="shared" si="2"/>
        <v>45292</v>
      </c>
      <c r="H12" s="60"/>
      <c r="I12" s="96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15.75" hidden="1" customHeight="1" outlineLevel="1">
      <c r="A13" s="110" t="s">
        <v>611</v>
      </c>
      <c r="B13" s="60"/>
      <c r="C13" s="107">
        <v>1.0</v>
      </c>
      <c r="D13" s="103" t="str">
        <f>IFERROR(__xludf.DUMMYFUNCTION("SPARKLINE(C13,{""charttype"",""bar"";""max"",1})"),"")</f>
        <v/>
      </c>
      <c r="E13" s="111">
        <v>45295.0</v>
      </c>
      <c r="F13" s="42">
        <v>0.0</v>
      </c>
      <c r="G13" s="111">
        <f t="shared" si="2"/>
        <v>45292</v>
      </c>
      <c r="H13" s="60"/>
      <c r="I13" s="96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15.75" hidden="1" customHeight="1" outlineLevel="1">
      <c r="A14" s="110" t="s">
        <v>612</v>
      </c>
      <c r="B14" s="60"/>
      <c r="C14" s="107">
        <v>1.0</v>
      </c>
      <c r="D14" s="103" t="str">
        <f>IFERROR(__xludf.DUMMYFUNCTION("SPARKLINE(C14,{""charttype"",""bar"";""max"",1})"),"")</f>
        <v/>
      </c>
      <c r="E14" s="111">
        <v>45296.0</v>
      </c>
      <c r="F14" s="42">
        <v>1.0</v>
      </c>
      <c r="G14" s="111">
        <f t="shared" si="2"/>
        <v>45296</v>
      </c>
      <c r="H14" s="60"/>
      <c r="I14" s="96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15.75" hidden="1" customHeight="1" outlineLevel="1">
      <c r="A15" s="110" t="s">
        <v>613</v>
      </c>
      <c r="B15" s="60"/>
      <c r="C15" s="107">
        <v>1.0</v>
      </c>
      <c r="D15" s="103" t="str">
        <f>IFERROR(__xludf.DUMMYFUNCTION("SPARKLINE(C15,{""charttype"",""bar"";""max"",1})"),"")</f>
        <v/>
      </c>
      <c r="E15" s="111">
        <v>45297.0</v>
      </c>
      <c r="F15" s="42">
        <v>1.0</v>
      </c>
      <c r="G15" s="111">
        <f t="shared" si="2"/>
        <v>45297</v>
      </c>
      <c r="H15" s="60"/>
      <c r="I15" s="96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15.75" hidden="1" customHeight="1" outlineLevel="1">
      <c r="A16" s="110" t="s">
        <v>15</v>
      </c>
      <c r="B16" s="60"/>
      <c r="C16" s="107">
        <v>1.0</v>
      </c>
      <c r="D16" s="103" t="str">
        <f>IFERROR(__xludf.DUMMYFUNCTION("SPARKLINE(C16,{""charttype"",""bar"";""max"",1})"),"")</f>
        <v/>
      </c>
      <c r="E16" s="111">
        <v>45298.0</v>
      </c>
      <c r="F16" s="42">
        <v>15.0</v>
      </c>
      <c r="G16" s="111">
        <f t="shared" si="2"/>
        <v>45316</v>
      </c>
      <c r="H16" s="60"/>
      <c r="I16" s="96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15.75" hidden="1" customHeight="1" outlineLevel="1">
      <c r="A17" s="60" t="s">
        <v>614</v>
      </c>
      <c r="B17" s="60"/>
      <c r="C17" s="107">
        <v>1.0</v>
      </c>
      <c r="D17" s="103" t="str">
        <f>IFERROR(__xludf.DUMMYFUNCTION("SPARKLINE(C17,{""charttype"",""bar"";""max"",1})"),"")</f>
        <v/>
      </c>
      <c r="E17" s="111">
        <v>45299.0</v>
      </c>
      <c r="F17" s="42">
        <v>15.0</v>
      </c>
      <c r="G17" s="111">
        <f t="shared" si="2"/>
        <v>45317</v>
      </c>
      <c r="H17" s="60"/>
      <c r="I17" s="96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15.75" hidden="1" customHeight="1" outlineLevel="1">
      <c r="A18" s="110" t="s">
        <v>615</v>
      </c>
      <c r="B18" s="97" t="s">
        <v>616</v>
      </c>
      <c r="C18" s="107">
        <v>1.0</v>
      </c>
      <c r="D18" s="103" t="str">
        <f>IFERROR(__xludf.DUMMYFUNCTION("SPARKLINE(C18,{""charttype"",""bar"";""max"",1})"),"")</f>
        <v/>
      </c>
      <c r="E18" s="111">
        <v>45299.0</v>
      </c>
      <c r="F18" s="42">
        <v>1.0</v>
      </c>
      <c r="G18" s="111">
        <f>if(F18=0,G16, workday(E18,F18-1))+WORKDAY(H18,H16)</f>
        <v>45299</v>
      </c>
      <c r="H18" s="60"/>
      <c r="I18" s="96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15.75" hidden="1" customHeight="1" outlineLevel="1">
      <c r="A19" s="110" t="s">
        <v>617</v>
      </c>
      <c r="B19" s="60"/>
      <c r="C19" s="107">
        <v>1.0</v>
      </c>
      <c r="D19" s="103" t="str">
        <f>IFERROR(__xludf.DUMMYFUNCTION("SPARKLINE(C19,{""charttype"",""bar"";""max"",1})"),"")</f>
        <v/>
      </c>
      <c r="E19" s="111">
        <v>45355.0</v>
      </c>
      <c r="F19" s="42">
        <v>0.0</v>
      </c>
      <c r="G19" s="111">
        <f>if(F19=0,G18, workday(E19,F19-1))+WORKDAY(H19,H18)</f>
        <v>45299</v>
      </c>
      <c r="H19" s="60"/>
      <c r="I19" s="96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15.75" customHeight="1" collapsed="1">
      <c r="A20" s="94" t="s">
        <v>618</v>
      </c>
      <c r="B20" s="60"/>
      <c r="C20" s="107">
        <f>average(C21:C26)</f>
        <v>1</v>
      </c>
      <c r="D20" s="103" t="str">
        <f>IFERROR(__xludf.DUMMYFUNCTION("SPARKLINE(C20,{""charttype"",""bar"";""max"",1})"),"")</f>
        <v/>
      </c>
      <c r="E20" s="108">
        <f>min(E21:E26)</f>
        <v>45317</v>
      </c>
      <c r="F20" s="109">
        <f>G20-E20</f>
        <v>10</v>
      </c>
      <c r="G20" s="108">
        <f>MAX(G21:G26)</f>
        <v>45327</v>
      </c>
      <c r="H20" s="94">
        <f>sum(H21:H26)</f>
        <v>0</v>
      </c>
      <c r="I20" s="96"/>
    </row>
    <row r="21" ht="15.75" hidden="1" customHeight="1" outlineLevel="1">
      <c r="A21" s="110" t="s">
        <v>18</v>
      </c>
      <c r="B21" s="60"/>
      <c r="C21" s="112">
        <v>1.0</v>
      </c>
      <c r="D21" s="103" t="str">
        <f>IFERROR(__xludf.DUMMYFUNCTION("SPARKLINE(C21,{""charttype"",""bar"";""max"",1})"),"")</f>
        <v/>
      </c>
      <c r="E21" s="111">
        <f>workday(G16,1)</f>
        <v>45317</v>
      </c>
      <c r="F21" s="42">
        <v>1.0</v>
      </c>
      <c r="G21" s="111">
        <f t="shared" ref="G21:G26" si="3">if(F21=0,G20, workday(E21,F21-1))+WORKDAY(H21,H20)</f>
        <v>45317</v>
      </c>
      <c r="H21" s="60"/>
      <c r="I21" s="96"/>
    </row>
    <row r="22" ht="15.75" hidden="1" customHeight="1" outlineLevel="1">
      <c r="A22" s="110" t="s">
        <v>619</v>
      </c>
      <c r="B22" s="60"/>
      <c r="C22" s="112">
        <v>1.0</v>
      </c>
      <c r="D22" s="103" t="str">
        <f>IFERROR(__xludf.DUMMYFUNCTION("SPARKLINE(C22,{""charttype"",""bar"";""max"",1})"),"")</f>
        <v/>
      </c>
      <c r="E22" s="111">
        <f t="shared" ref="E22:E26" si="4">workday(G21,1)</f>
        <v>45320</v>
      </c>
      <c r="F22" s="42">
        <v>5.0</v>
      </c>
      <c r="G22" s="111">
        <f t="shared" si="3"/>
        <v>45324</v>
      </c>
      <c r="H22" s="60"/>
      <c r="I22" s="96"/>
    </row>
    <row r="23" ht="15.75" hidden="1" customHeight="1" outlineLevel="1">
      <c r="A23" s="110" t="s">
        <v>620</v>
      </c>
      <c r="B23" s="60"/>
      <c r="C23" s="112">
        <v>1.0</v>
      </c>
      <c r="D23" s="103" t="str">
        <f>IFERROR(__xludf.DUMMYFUNCTION("SPARKLINE(C23,{""charttype"",""bar"";""max"",1})"),"")</f>
        <v/>
      </c>
      <c r="E23" s="111">
        <f t="shared" si="4"/>
        <v>45327</v>
      </c>
      <c r="F23" s="42">
        <v>1.0</v>
      </c>
      <c r="G23" s="111">
        <f t="shared" si="3"/>
        <v>45327</v>
      </c>
      <c r="H23" s="60"/>
      <c r="I23" s="96"/>
    </row>
    <row r="24" ht="15.75" hidden="1" customHeight="1" outlineLevel="1">
      <c r="A24" s="110" t="s">
        <v>621</v>
      </c>
      <c r="B24" s="60"/>
      <c r="C24" s="112">
        <v>1.0</v>
      </c>
      <c r="D24" s="103" t="str">
        <f>IFERROR(__xludf.DUMMYFUNCTION("SPARKLINE(C24,{""charttype"",""bar"";""max"",1})"),"")</f>
        <v/>
      </c>
      <c r="E24" s="111">
        <f t="shared" si="4"/>
        <v>45328</v>
      </c>
      <c r="F24" s="42">
        <v>0.0</v>
      </c>
      <c r="G24" s="111">
        <f t="shared" si="3"/>
        <v>45327</v>
      </c>
      <c r="H24" s="60"/>
      <c r="I24" s="96"/>
    </row>
    <row r="25" ht="15.75" hidden="1" customHeight="1" outlineLevel="1">
      <c r="A25" s="110" t="s">
        <v>622</v>
      </c>
      <c r="B25" s="60"/>
      <c r="C25" s="112">
        <v>1.0</v>
      </c>
      <c r="D25" s="103" t="str">
        <f>IFERROR(__xludf.DUMMYFUNCTION("SPARKLINE(C25,{""charttype"",""bar"";""max"",1})"),"")</f>
        <v/>
      </c>
      <c r="E25" s="111">
        <f t="shared" si="4"/>
        <v>45328</v>
      </c>
      <c r="F25" s="42">
        <v>0.0</v>
      </c>
      <c r="G25" s="111">
        <f t="shared" si="3"/>
        <v>45327</v>
      </c>
      <c r="H25" s="60"/>
      <c r="I25" s="96"/>
    </row>
    <row r="26" ht="15.75" hidden="1" customHeight="1" outlineLevel="1">
      <c r="A26" s="60" t="s">
        <v>623</v>
      </c>
      <c r="B26" s="60"/>
      <c r="C26" s="112">
        <v>1.0</v>
      </c>
      <c r="D26" s="103" t="str">
        <f>IFERROR(__xludf.DUMMYFUNCTION("SPARKLINE(C26,{""charttype"",""bar"";""max"",1})"),"")</f>
        <v/>
      </c>
      <c r="E26" s="111">
        <f t="shared" si="4"/>
        <v>45328</v>
      </c>
      <c r="F26" s="42">
        <v>0.0</v>
      </c>
      <c r="G26" s="111">
        <f t="shared" si="3"/>
        <v>45327</v>
      </c>
      <c r="H26" s="60"/>
      <c r="I26" s="96"/>
    </row>
    <row r="27" ht="15.75" customHeight="1" collapsed="1">
      <c r="A27" s="94" t="s">
        <v>624</v>
      </c>
      <c r="B27" s="60"/>
      <c r="C27" s="107">
        <f>average(C28:C46)</f>
        <v>1</v>
      </c>
      <c r="D27" s="103" t="str">
        <f>IFERROR(__xludf.DUMMYFUNCTION("SPARKLINE(C27,{""charttype"",""bar"";""max"",1})"),"")</f>
        <v/>
      </c>
      <c r="E27" s="108">
        <f>min(E28:E46)</f>
        <v>45292</v>
      </c>
      <c r="F27" s="109">
        <f>G27-E27</f>
        <v>78</v>
      </c>
      <c r="G27" s="108">
        <f>MAX(G28:G46)</f>
        <v>45370</v>
      </c>
      <c r="H27" s="94">
        <f>sum(H28:H46)</f>
        <v>42</v>
      </c>
      <c r="I27" s="96"/>
    </row>
    <row r="28" ht="15.75" hidden="1" customHeight="1" outlineLevel="1">
      <c r="A28" s="60" t="s">
        <v>625</v>
      </c>
      <c r="B28" s="97" t="s">
        <v>626</v>
      </c>
      <c r="C28" s="112">
        <v>1.0</v>
      </c>
      <c r="D28" s="103" t="str">
        <f>IFERROR(__xludf.DUMMYFUNCTION("SPARKLINE(C28,{""charttype"",""bar"";""max"",1})"),"")</f>
        <v/>
      </c>
      <c r="E28" s="111">
        <v>45292.0</v>
      </c>
      <c r="F28" s="42">
        <v>1.0</v>
      </c>
      <c r="G28" s="111">
        <f t="shared" ref="G28:G46" si="5">if(F28=0,E28, workday(E28,F28-1))</f>
        <v>45292</v>
      </c>
      <c r="H28" s="60"/>
      <c r="I28" s="96"/>
    </row>
    <row r="29" ht="15.75" hidden="1" customHeight="1" outlineLevel="1">
      <c r="A29" s="60" t="s">
        <v>627</v>
      </c>
      <c r="B29" s="60"/>
      <c r="C29" s="112">
        <v>1.0</v>
      </c>
      <c r="D29" s="103" t="str">
        <f>IFERROR(__xludf.DUMMYFUNCTION("SPARKLINE(C29,{""charttype"",""bar"";""max"",1})"),"")</f>
        <v/>
      </c>
      <c r="E29" s="111">
        <f t="shared" ref="E29:E46" si="6">if(F29=0,E28,if(H28=0,workday(G28,1),workday(G28,H28)))</f>
        <v>45293</v>
      </c>
      <c r="F29" s="42">
        <v>1.0</v>
      </c>
      <c r="G29" s="111">
        <f t="shared" si="5"/>
        <v>45293</v>
      </c>
      <c r="H29" s="60"/>
      <c r="I29" s="96"/>
    </row>
    <row r="30" ht="15.75" hidden="1" customHeight="1" outlineLevel="1">
      <c r="A30" s="60" t="s">
        <v>628</v>
      </c>
      <c r="B30" s="60"/>
      <c r="C30" s="112">
        <v>1.0</v>
      </c>
      <c r="D30" s="103" t="str">
        <f>IFERROR(__xludf.DUMMYFUNCTION("SPARKLINE(C30,{""charttype"",""bar"";""max"",1})"),"")</f>
        <v/>
      </c>
      <c r="E30" s="111">
        <f t="shared" si="6"/>
        <v>45294</v>
      </c>
      <c r="F30" s="42">
        <v>1.0</v>
      </c>
      <c r="G30" s="111">
        <f t="shared" si="5"/>
        <v>45294</v>
      </c>
      <c r="H30" s="60"/>
      <c r="I30" s="96"/>
    </row>
    <row r="31" ht="15.75" hidden="1" customHeight="1" outlineLevel="1">
      <c r="A31" s="60" t="s">
        <v>629</v>
      </c>
      <c r="B31" s="60"/>
      <c r="C31" s="112">
        <v>1.0</v>
      </c>
      <c r="D31" s="103" t="str">
        <f>IFERROR(__xludf.DUMMYFUNCTION("SPARKLINE(C31,{""charttype"",""bar"";""max"",1})"),"")</f>
        <v/>
      </c>
      <c r="E31" s="111">
        <f t="shared" si="6"/>
        <v>45295</v>
      </c>
      <c r="F31" s="42">
        <v>1.0</v>
      </c>
      <c r="G31" s="111">
        <f t="shared" si="5"/>
        <v>45295</v>
      </c>
      <c r="H31" s="60"/>
      <c r="I31" s="96"/>
    </row>
    <row r="32" ht="15.75" hidden="1" customHeight="1" outlineLevel="1">
      <c r="A32" s="60" t="s">
        <v>630</v>
      </c>
      <c r="B32" s="60"/>
      <c r="C32" s="112">
        <v>1.0</v>
      </c>
      <c r="D32" s="103" t="str">
        <f>IFERROR(__xludf.DUMMYFUNCTION("SPARKLINE(C32,{""charttype"",""bar"";""max"",1})"),"")</f>
        <v/>
      </c>
      <c r="E32" s="111">
        <f t="shared" si="6"/>
        <v>45296</v>
      </c>
      <c r="F32" s="42">
        <v>1.0</v>
      </c>
      <c r="G32" s="111">
        <f t="shared" si="5"/>
        <v>45296</v>
      </c>
      <c r="H32" s="60"/>
      <c r="I32" s="96"/>
    </row>
    <row r="33" ht="15.75" hidden="1" customHeight="1" outlineLevel="1">
      <c r="A33" s="60" t="s">
        <v>631</v>
      </c>
      <c r="B33" s="60"/>
      <c r="C33" s="112">
        <v>1.0</v>
      </c>
      <c r="D33" s="103" t="str">
        <f>IFERROR(__xludf.DUMMYFUNCTION("SPARKLINE(C33,{""charttype"",""bar"";""max"",1})"),"")</f>
        <v/>
      </c>
      <c r="E33" s="111">
        <f t="shared" si="6"/>
        <v>45299</v>
      </c>
      <c r="F33" s="42">
        <v>1.0</v>
      </c>
      <c r="G33" s="111">
        <f t="shared" si="5"/>
        <v>45299</v>
      </c>
      <c r="H33" s="60">
        <v>40.0</v>
      </c>
      <c r="I33" s="96"/>
    </row>
    <row r="34" ht="15.75" hidden="1" customHeight="1" outlineLevel="1">
      <c r="A34" s="60" t="s">
        <v>632</v>
      </c>
      <c r="B34" s="97" t="s">
        <v>633</v>
      </c>
      <c r="C34" s="112">
        <v>1.0</v>
      </c>
      <c r="D34" s="103" t="str">
        <f>IFERROR(__xludf.DUMMYFUNCTION("SPARKLINE(C34,{""charttype"",""bar"";""max"",1})"),"")</f>
        <v/>
      </c>
      <c r="E34" s="111">
        <f t="shared" si="6"/>
        <v>45355</v>
      </c>
      <c r="F34" s="42">
        <v>2.0</v>
      </c>
      <c r="G34" s="111">
        <f t="shared" si="5"/>
        <v>45356</v>
      </c>
      <c r="H34" s="60"/>
      <c r="I34" s="96"/>
    </row>
    <row r="35" ht="15.75" hidden="1" customHeight="1" outlineLevel="1">
      <c r="A35" s="60" t="s">
        <v>634</v>
      </c>
      <c r="B35" s="60"/>
      <c r="C35" s="112">
        <v>1.0</v>
      </c>
      <c r="D35" s="103" t="str">
        <f>IFERROR(__xludf.DUMMYFUNCTION("SPARKLINE(C35,{""charttype"",""bar"";""max"",1})"),"")</f>
        <v/>
      </c>
      <c r="E35" s="111">
        <f t="shared" si="6"/>
        <v>45357</v>
      </c>
      <c r="F35" s="42">
        <v>1.0</v>
      </c>
      <c r="G35" s="111">
        <f t="shared" si="5"/>
        <v>45357</v>
      </c>
      <c r="H35" s="60"/>
      <c r="I35" s="96"/>
    </row>
    <row r="36" ht="15.75" hidden="1" customHeight="1" outlineLevel="1">
      <c r="A36" s="60" t="s">
        <v>635</v>
      </c>
      <c r="B36" s="60"/>
      <c r="C36" s="112">
        <v>1.0</v>
      </c>
      <c r="D36" s="103" t="str">
        <f>IFERROR(__xludf.DUMMYFUNCTION("SPARKLINE(C36,{""charttype"",""bar"";""max"",1})"),"")</f>
        <v/>
      </c>
      <c r="E36" s="111">
        <f t="shared" si="6"/>
        <v>45358</v>
      </c>
      <c r="F36" s="42">
        <v>1.0</v>
      </c>
      <c r="G36" s="111">
        <f t="shared" si="5"/>
        <v>45358</v>
      </c>
      <c r="H36" s="60"/>
      <c r="I36" s="96"/>
    </row>
    <row r="37" ht="15.75" hidden="1" customHeight="1" outlineLevel="1">
      <c r="A37" s="60" t="s">
        <v>636</v>
      </c>
      <c r="B37" s="97" t="s">
        <v>626</v>
      </c>
      <c r="C37" s="112">
        <v>1.0</v>
      </c>
      <c r="D37" s="103" t="str">
        <f>IFERROR(__xludf.DUMMYFUNCTION("SPARKLINE(C37,{""charttype"",""bar"";""max"",1})"),"")</f>
        <v/>
      </c>
      <c r="E37" s="111">
        <f t="shared" si="6"/>
        <v>45359</v>
      </c>
      <c r="F37" s="42">
        <v>1.0</v>
      </c>
      <c r="G37" s="111">
        <f t="shared" si="5"/>
        <v>45359</v>
      </c>
      <c r="H37" s="60"/>
      <c r="I37" s="96"/>
    </row>
    <row r="38" ht="15.75" hidden="1" customHeight="1" outlineLevel="1">
      <c r="A38" s="60" t="s">
        <v>637</v>
      </c>
      <c r="B38" s="60"/>
      <c r="C38" s="112">
        <v>1.0</v>
      </c>
      <c r="D38" s="103" t="str">
        <f>IFERROR(__xludf.DUMMYFUNCTION("SPARKLINE(C38,{""charttype"",""bar"";""max"",1})"),"")</f>
        <v/>
      </c>
      <c r="E38" s="111">
        <f t="shared" si="6"/>
        <v>45362</v>
      </c>
      <c r="F38" s="42">
        <v>1.0</v>
      </c>
      <c r="G38" s="111">
        <f t="shared" si="5"/>
        <v>45362</v>
      </c>
      <c r="H38" s="60"/>
      <c r="I38" s="96"/>
    </row>
    <row r="39" ht="15.75" hidden="1" customHeight="1" outlineLevel="1">
      <c r="A39" s="3" t="s">
        <v>49</v>
      </c>
      <c r="C39" s="112">
        <v>1.0</v>
      </c>
      <c r="D39" s="103" t="str">
        <f>IFERROR(__xludf.DUMMYFUNCTION("SPARKLINE(C39,{""charttype"",""bar"";""max"",1})"),"")</f>
        <v/>
      </c>
      <c r="E39" s="111">
        <f t="shared" si="6"/>
        <v>45362</v>
      </c>
      <c r="F39" s="3">
        <v>0.0</v>
      </c>
      <c r="G39" s="111">
        <f t="shared" si="5"/>
        <v>45362</v>
      </c>
    </row>
    <row r="40" ht="15.75" hidden="1" customHeight="1" outlineLevel="1">
      <c r="A40" s="60" t="s">
        <v>638</v>
      </c>
      <c r="B40" s="60"/>
      <c r="C40" s="112">
        <v>1.0</v>
      </c>
      <c r="D40" s="103" t="str">
        <f>IFERROR(__xludf.DUMMYFUNCTION("SPARKLINE(C40,{""charttype"",""bar"";""max"",1})"),"")</f>
        <v/>
      </c>
      <c r="E40" s="111">
        <f t="shared" si="6"/>
        <v>45363</v>
      </c>
      <c r="F40" s="42">
        <v>1.0</v>
      </c>
      <c r="G40" s="111">
        <f t="shared" si="5"/>
        <v>45363</v>
      </c>
      <c r="H40" s="60"/>
      <c r="I40" s="96"/>
    </row>
    <row r="41" ht="15.75" hidden="1" customHeight="1" outlineLevel="1">
      <c r="A41" s="60" t="s">
        <v>639</v>
      </c>
      <c r="B41" s="60"/>
      <c r="C41" s="112">
        <v>1.0</v>
      </c>
      <c r="D41" s="103" t="str">
        <f>IFERROR(__xludf.DUMMYFUNCTION("SPARKLINE(C41,{""charttype"",""bar"";""max"",1})"),"")</f>
        <v/>
      </c>
      <c r="E41" s="111">
        <f t="shared" si="6"/>
        <v>45364</v>
      </c>
      <c r="F41" s="42">
        <v>1.0</v>
      </c>
      <c r="G41" s="111">
        <f t="shared" si="5"/>
        <v>45364</v>
      </c>
      <c r="H41" s="60">
        <v>2.0</v>
      </c>
      <c r="I41" s="96"/>
    </row>
    <row r="42" ht="15.75" hidden="1" customHeight="1" outlineLevel="1">
      <c r="A42" s="60" t="s">
        <v>640</v>
      </c>
      <c r="B42" s="60"/>
      <c r="C42" s="112">
        <v>1.0</v>
      </c>
      <c r="D42" s="103" t="str">
        <f>IFERROR(__xludf.DUMMYFUNCTION("SPARKLINE(C42,{""charttype"",""bar"";""max"",1})"),"")</f>
        <v/>
      </c>
      <c r="E42" s="111">
        <f t="shared" si="6"/>
        <v>45366</v>
      </c>
      <c r="F42" s="42">
        <v>1.0</v>
      </c>
      <c r="G42" s="111">
        <f t="shared" si="5"/>
        <v>45366</v>
      </c>
      <c r="H42" s="60"/>
      <c r="I42" s="96"/>
    </row>
    <row r="43" ht="15.75" hidden="1" customHeight="1" outlineLevel="1">
      <c r="A43" s="60" t="s">
        <v>641</v>
      </c>
      <c r="B43" s="60"/>
      <c r="C43" s="112">
        <v>1.0</v>
      </c>
      <c r="D43" s="103" t="str">
        <f>IFERROR(__xludf.DUMMYFUNCTION("SPARKLINE(C43,{""charttype"",""bar"";""max"",1})"),"")</f>
        <v/>
      </c>
      <c r="E43" s="111">
        <f t="shared" si="6"/>
        <v>45366</v>
      </c>
      <c r="F43" s="42">
        <v>0.0</v>
      </c>
      <c r="G43" s="111">
        <f t="shared" si="5"/>
        <v>45366</v>
      </c>
      <c r="H43" s="60"/>
      <c r="I43" s="96"/>
    </row>
    <row r="44" ht="15.75" hidden="1" customHeight="1" outlineLevel="1">
      <c r="A44" s="60" t="s">
        <v>642</v>
      </c>
      <c r="B44" s="60"/>
      <c r="C44" s="112">
        <v>1.0</v>
      </c>
      <c r="D44" s="103" t="str">
        <f>IFERROR(__xludf.DUMMYFUNCTION("SPARKLINE(C44,{""charttype"",""bar"";""max"",1})"),"")</f>
        <v/>
      </c>
      <c r="E44" s="111">
        <f t="shared" si="6"/>
        <v>45369</v>
      </c>
      <c r="F44" s="42">
        <v>1.0</v>
      </c>
      <c r="G44" s="111">
        <f t="shared" si="5"/>
        <v>45369</v>
      </c>
      <c r="H44" s="60"/>
      <c r="I44" s="96"/>
    </row>
    <row r="45" ht="15.75" hidden="1" customHeight="1" outlineLevel="1">
      <c r="A45" s="60" t="s">
        <v>643</v>
      </c>
      <c r="B45" s="60"/>
      <c r="C45" s="112">
        <v>1.0</v>
      </c>
      <c r="D45" s="103" t="str">
        <f>IFERROR(__xludf.DUMMYFUNCTION("SPARKLINE(C45,{""charttype"",""bar"";""max"",1})"),"")</f>
        <v/>
      </c>
      <c r="E45" s="111">
        <f t="shared" si="6"/>
        <v>45370</v>
      </c>
      <c r="F45" s="42">
        <v>1.0</v>
      </c>
      <c r="G45" s="111">
        <f t="shared" si="5"/>
        <v>45370</v>
      </c>
      <c r="H45" s="60"/>
      <c r="I45" s="96"/>
    </row>
    <row r="46" ht="15.75" hidden="1" customHeight="1" outlineLevel="1">
      <c r="A46" s="60" t="s">
        <v>644</v>
      </c>
      <c r="B46" s="60"/>
      <c r="C46" s="112">
        <v>1.0</v>
      </c>
      <c r="D46" s="103" t="str">
        <f>IFERROR(__xludf.DUMMYFUNCTION("SPARKLINE(C46,{""charttype"",""bar"";""max"",1})"),"")</f>
        <v/>
      </c>
      <c r="E46" s="111">
        <f t="shared" si="6"/>
        <v>45370</v>
      </c>
      <c r="F46" s="42">
        <v>0.0</v>
      </c>
      <c r="G46" s="111">
        <f t="shared" si="5"/>
        <v>45370</v>
      </c>
      <c r="H46" s="60"/>
      <c r="I46" s="96"/>
    </row>
    <row r="47" ht="15.75" customHeight="1" collapsed="1">
      <c r="A47" s="94" t="s">
        <v>645</v>
      </c>
      <c r="B47" s="60"/>
      <c r="C47" s="107">
        <f>Average(C48:C59)</f>
        <v>1</v>
      </c>
      <c r="D47" s="103" t="str">
        <f>IFERROR(__xludf.DUMMYFUNCTION("SPARKLINE(C47,{""charttype"",""bar"";""max"",1})"),"")</f>
        <v/>
      </c>
      <c r="E47" s="108">
        <f>min(E48:E59)</f>
        <v>45371</v>
      </c>
      <c r="F47" s="109">
        <f>G47-E47</f>
        <v>12</v>
      </c>
      <c r="G47" s="108">
        <f>MAX(G48:G59)</f>
        <v>45383</v>
      </c>
      <c r="H47" s="94">
        <f>sum(H48:H59)</f>
        <v>0</v>
      </c>
      <c r="I47" s="60"/>
    </row>
    <row r="48" ht="15.75" hidden="1" customHeight="1" outlineLevel="1">
      <c r="A48" s="60" t="s">
        <v>646</v>
      </c>
      <c r="B48" s="97" t="s">
        <v>647</v>
      </c>
      <c r="C48" s="112">
        <v>1.0</v>
      </c>
      <c r="D48" s="103" t="str">
        <f>IFERROR(__xludf.DUMMYFUNCTION("SPARKLINE(C48,{""charttype"",""bar"";""max"",1})"),"")</f>
        <v/>
      </c>
      <c r="E48" s="111">
        <f>workday(G46,1)</f>
        <v>45371</v>
      </c>
      <c r="F48" s="42">
        <v>1.0</v>
      </c>
      <c r="G48" s="111">
        <f t="shared" ref="G48:G59" si="7">if(F48=0,G47, workday(E48,F48-1))+WORKDAY(H48,H47)</f>
        <v>45371</v>
      </c>
      <c r="H48" s="60"/>
      <c r="I48" s="96"/>
    </row>
    <row r="49" ht="15.75" hidden="1" customHeight="1" outlineLevel="1">
      <c r="A49" s="40" t="s">
        <v>648</v>
      </c>
      <c r="B49" s="97" t="s">
        <v>53</v>
      </c>
      <c r="C49" s="112">
        <v>1.0</v>
      </c>
      <c r="D49" s="103" t="str">
        <f>IFERROR(__xludf.DUMMYFUNCTION("SPARKLINE(C49,{""charttype"",""bar"";""max"",1})"),"")</f>
        <v/>
      </c>
      <c r="E49" s="111">
        <f t="shared" ref="E49:E59" si="8">if(F49=0,E48,if(H48=0,workday(G48,1),workday(G48,H48)))</f>
        <v>45371</v>
      </c>
      <c r="F49" s="42">
        <v>0.0</v>
      </c>
      <c r="G49" s="111">
        <f t="shared" si="7"/>
        <v>45371</v>
      </c>
      <c r="H49" s="60"/>
      <c r="I49" s="60"/>
    </row>
    <row r="50" ht="15.75" hidden="1" customHeight="1" outlineLevel="1">
      <c r="A50" s="60" t="s">
        <v>649</v>
      </c>
      <c r="B50" s="60"/>
      <c r="C50" s="112">
        <v>1.0</v>
      </c>
      <c r="D50" s="103" t="str">
        <f>IFERROR(__xludf.DUMMYFUNCTION("SPARKLINE(C50,{""charttype"",""bar"";""max"",1})"),"")</f>
        <v/>
      </c>
      <c r="E50" s="111">
        <f t="shared" si="8"/>
        <v>45371</v>
      </c>
      <c r="F50" s="42">
        <v>0.0</v>
      </c>
      <c r="G50" s="111">
        <f t="shared" si="7"/>
        <v>45371</v>
      </c>
      <c r="H50" s="60"/>
      <c r="I50" s="60"/>
    </row>
    <row r="51" ht="15.75" hidden="1" customHeight="1" outlineLevel="1">
      <c r="A51" s="60" t="s">
        <v>650</v>
      </c>
      <c r="B51" s="60"/>
      <c r="C51" s="112">
        <v>1.0</v>
      </c>
      <c r="D51" s="103" t="str">
        <f>IFERROR(__xludf.DUMMYFUNCTION("SPARKLINE(C51,{""charttype"",""bar"";""max"",1})"),"")</f>
        <v/>
      </c>
      <c r="E51" s="111">
        <f t="shared" si="8"/>
        <v>45372</v>
      </c>
      <c r="F51" s="42">
        <v>2.0</v>
      </c>
      <c r="G51" s="111">
        <f t="shared" si="7"/>
        <v>45373</v>
      </c>
      <c r="H51" s="60"/>
      <c r="I51" s="60"/>
    </row>
    <row r="52" ht="15.75" hidden="1" customHeight="1" outlineLevel="1">
      <c r="A52" s="60" t="s">
        <v>651</v>
      </c>
      <c r="B52" s="97" t="s">
        <v>647</v>
      </c>
      <c r="C52" s="112">
        <v>1.0</v>
      </c>
      <c r="D52" s="103" t="str">
        <f>IFERROR(__xludf.DUMMYFUNCTION("SPARKLINE(C52,{""charttype"",""bar"";""max"",1})"),"")</f>
        <v/>
      </c>
      <c r="E52" s="111">
        <f t="shared" si="8"/>
        <v>45376</v>
      </c>
      <c r="F52" s="42">
        <v>1.0</v>
      </c>
      <c r="G52" s="111">
        <f t="shared" si="7"/>
        <v>45376</v>
      </c>
      <c r="H52" s="60"/>
      <c r="I52" s="60"/>
    </row>
    <row r="53" ht="15.75" hidden="1" customHeight="1" outlineLevel="1">
      <c r="A53" s="60" t="s">
        <v>652</v>
      </c>
      <c r="B53" s="60"/>
      <c r="C53" s="112">
        <v>1.0</v>
      </c>
      <c r="D53" s="103" t="str">
        <f>IFERROR(__xludf.DUMMYFUNCTION("SPARKLINE(C53,{""charttype"",""bar"";""max"",1})"),"")</f>
        <v/>
      </c>
      <c r="E53" s="111">
        <f t="shared" si="8"/>
        <v>45377</v>
      </c>
      <c r="F53" s="42">
        <v>2.0</v>
      </c>
      <c r="G53" s="111">
        <f t="shared" si="7"/>
        <v>45378</v>
      </c>
      <c r="H53" s="60"/>
      <c r="I53" s="60"/>
    </row>
    <row r="54" ht="15.75" hidden="1" customHeight="1" outlineLevel="1">
      <c r="A54" s="60" t="s">
        <v>653</v>
      </c>
      <c r="B54" s="60"/>
      <c r="C54" s="112">
        <v>1.0</v>
      </c>
      <c r="D54" s="103" t="str">
        <f>IFERROR(__xludf.DUMMYFUNCTION("SPARKLINE(C54,{""charttype"",""bar"";""max"",1})"),"")</f>
        <v/>
      </c>
      <c r="E54" s="111">
        <f t="shared" si="8"/>
        <v>45379</v>
      </c>
      <c r="F54" s="42">
        <v>1.0</v>
      </c>
      <c r="G54" s="111">
        <f t="shared" si="7"/>
        <v>45379</v>
      </c>
      <c r="H54" s="60"/>
      <c r="I54" s="60"/>
    </row>
    <row r="55" ht="15.75" hidden="1" customHeight="1" outlineLevel="1">
      <c r="A55" s="60" t="s">
        <v>654</v>
      </c>
      <c r="B55" s="60"/>
      <c r="C55" s="112">
        <v>1.0</v>
      </c>
      <c r="D55" s="103" t="str">
        <f>IFERROR(__xludf.DUMMYFUNCTION("SPARKLINE(C55,{""charttype"",""bar"";""max"",1})"),"")</f>
        <v/>
      </c>
      <c r="E55" s="111">
        <f t="shared" si="8"/>
        <v>45380</v>
      </c>
      <c r="F55" s="42">
        <v>2.0</v>
      </c>
      <c r="G55" s="111">
        <f t="shared" si="7"/>
        <v>45383</v>
      </c>
      <c r="H55" s="60"/>
      <c r="I55" s="60"/>
    </row>
    <row r="56" ht="15.75" hidden="1" customHeight="1" outlineLevel="1">
      <c r="A56" s="60" t="s">
        <v>655</v>
      </c>
      <c r="B56" s="97" t="s">
        <v>633</v>
      </c>
      <c r="C56" s="112">
        <v>1.0</v>
      </c>
      <c r="D56" s="103" t="str">
        <f>IFERROR(__xludf.DUMMYFUNCTION("SPARKLINE(C56,{""charttype"",""bar"";""max"",1})"),"")</f>
        <v/>
      </c>
      <c r="E56" s="111">
        <f t="shared" si="8"/>
        <v>45380</v>
      </c>
      <c r="F56" s="42">
        <v>0.0</v>
      </c>
      <c r="G56" s="111">
        <f t="shared" si="7"/>
        <v>45383</v>
      </c>
      <c r="H56" s="60"/>
      <c r="I56" s="60"/>
    </row>
    <row r="57" ht="15.75" hidden="1" customHeight="1" outlineLevel="1">
      <c r="A57" s="60" t="s">
        <v>656</v>
      </c>
      <c r="B57" s="97" t="s">
        <v>633</v>
      </c>
      <c r="C57" s="112">
        <v>1.0</v>
      </c>
      <c r="D57" s="103" t="str">
        <f>IFERROR(__xludf.DUMMYFUNCTION("SPARKLINE(C57,{""charttype"",""bar"";""max"",1})"),"")</f>
        <v/>
      </c>
      <c r="E57" s="111">
        <f t="shared" si="8"/>
        <v>45380</v>
      </c>
      <c r="F57" s="42">
        <v>0.0</v>
      </c>
      <c r="G57" s="111">
        <f t="shared" si="7"/>
        <v>45383</v>
      </c>
      <c r="H57" s="60"/>
      <c r="I57" s="60"/>
    </row>
    <row r="58" ht="15.75" hidden="1" customHeight="1" outlineLevel="1">
      <c r="A58" s="60" t="s">
        <v>657</v>
      </c>
      <c r="B58" s="97" t="s">
        <v>616</v>
      </c>
      <c r="C58" s="112">
        <v>1.0</v>
      </c>
      <c r="D58" s="103" t="str">
        <f>IFERROR(__xludf.DUMMYFUNCTION("SPARKLINE(C58,{""charttype"",""bar"";""max"",1})"),"")</f>
        <v/>
      </c>
      <c r="E58" s="111">
        <f t="shared" si="8"/>
        <v>45380</v>
      </c>
      <c r="F58" s="42">
        <v>0.0</v>
      </c>
      <c r="G58" s="111">
        <f t="shared" si="7"/>
        <v>45383</v>
      </c>
      <c r="H58" s="60"/>
      <c r="I58" s="60"/>
    </row>
    <row r="59" ht="15.75" hidden="1" customHeight="1" outlineLevel="1">
      <c r="A59" s="60" t="s">
        <v>658</v>
      </c>
      <c r="B59" s="60"/>
      <c r="C59" s="112">
        <v>1.0</v>
      </c>
      <c r="D59" s="103" t="str">
        <f>IFERROR(__xludf.DUMMYFUNCTION("SPARKLINE(C59,{""charttype"",""bar"";""max"",1})"),"")</f>
        <v/>
      </c>
      <c r="E59" s="111">
        <f t="shared" si="8"/>
        <v>45380</v>
      </c>
      <c r="F59" s="42">
        <v>0.0</v>
      </c>
      <c r="G59" s="111">
        <f t="shared" si="7"/>
        <v>45383</v>
      </c>
      <c r="H59" s="60"/>
      <c r="I59" s="60"/>
    </row>
    <row r="60" ht="15.75" customHeight="1" collapsed="1">
      <c r="A60" s="94" t="s">
        <v>659</v>
      </c>
      <c r="B60" s="60"/>
      <c r="C60" s="107">
        <f>Average(C61:C66)</f>
        <v>1</v>
      </c>
      <c r="D60" s="103" t="str">
        <f>IFERROR(__xludf.DUMMYFUNCTION("SPARKLINE(C60,{""charttype"",""bar"";""max"",1})"),"")</f>
        <v/>
      </c>
      <c r="E60" s="108">
        <f>min(E61:E66)</f>
        <v>45380</v>
      </c>
      <c r="F60" s="109">
        <f>G60-E60</f>
        <v>4</v>
      </c>
      <c r="G60" s="108">
        <f>MAX(G61:G66)</f>
        <v>45384</v>
      </c>
      <c r="H60" s="94">
        <f>sum(H61:H66)</f>
        <v>0</v>
      </c>
      <c r="I60" s="60"/>
    </row>
    <row r="61" ht="15.75" hidden="1" customHeight="1" outlineLevel="1">
      <c r="A61" s="60" t="s">
        <v>660</v>
      </c>
      <c r="B61" s="97" t="s">
        <v>661</v>
      </c>
      <c r="C61" s="112">
        <v>1.0</v>
      </c>
      <c r="D61" s="103" t="str">
        <f>IFERROR(__xludf.DUMMYFUNCTION("SPARKLINE(C61,{""charttype"",""bar"";""max"",1})"),"")</f>
        <v/>
      </c>
      <c r="E61" s="111">
        <f>if(F61=0,E54,if(H54=0,workday(G54,1),workday(G54,H54)))</f>
        <v>45380</v>
      </c>
      <c r="F61" s="42">
        <v>1.0</v>
      </c>
      <c r="G61" s="111">
        <f>if(F61=0,G60, workday(E61,F61-1))+WORKDAY(H61,H60)</f>
        <v>45380</v>
      </c>
      <c r="H61" s="60"/>
      <c r="I61" s="60"/>
    </row>
    <row r="62" ht="15.75" hidden="1" customHeight="1" outlineLevel="1">
      <c r="A62" s="60" t="s">
        <v>662</v>
      </c>
      <c r="B62" s="97" t="s">
        <v>53</v>
      </c>
      <c r="C62" s="112">
        <v>1.0</v>
      </c>
      <c r="D62" s="103" t="str">
        <f>IFERROR(__xludf.DUMMYFUNCTION("SPARKLINE(C62,{""charttype"",""bar"";""max"",1})"),"")</f>
        <v/>
      </c>
      <c r="E62" s="111">
        <f>workday(G56,1)</f>
        <v>45384</v>
      </c>
      <c r="F62" s="42">
        <v>1.0</v>
      </c>
      <c r="G62" s="111">
        <f t="shared" ref="G62:G66" si="9">if(F62=0,E62, workday(E62,F62-1))</f>
        <v>45384</v>
      </c>
      <c r="H62" s="60"/>
      <c r="I62" s="60"/>
    </row>
    <row r="63" ht="15.75" hidden="1" customHeight="1" outlineLevel="1">
      <c r="A63" s="60" t="s">
        <v>663</v>
      </c>
      <c r="B63" s="97" t="s">
        <v>664</v>
      </c>
      <c r="C63" s="112">
        <v>1.0</v>
      </c>
      <c r="D63" s="103" t="str">
        <f>IFERROR(__xludf.DUMMYFUNCTION("SPARKLINE(C63,{""charttype"",""bar"";""max"",1})"),"")</f>
        <v/>
      </c>
      <c r="E63" s="111">
        <f t="shared" ref="E63:E66" si="10">if(F63=0,E62,if(H62=0,workday(G62,1),workday(G62,H62)))</f>
        <v>45384</v>
      </c>
      <c r="F63" s="42">
        <v>0.0</v>
      </c>
      <c r="G63" s="111">
        <f t="shared" si="9"/>
        <v>45384</v>
      </c>
      <c r="H63" s="60"/>
      <c r="I63" s="60"/>
    </row>
    <row r="64" ht="15.75" hidden="1" customHeight="1" outlineLevel="1">
      <c r="A64" s="60" t="s">
        <v>665</v>
      </c>
      <c r="B64" s="97" t="s">
        <v>666</v>
      </c>
      <c r="C64" s="112">
        <v>1.0</v>
      </c>
      <c r="D64" s="103" t="str">
        <f>IFERROR(__xludf.DUMMYFUNCTION("SPARKLINE(C64,{""charttype"",""bar"";""max"",1})"),"")</f>
        <v/>
      </c>
      <c r="E64" s="111">
        <f t="shared" si="10"/>
        <v>45384</v>
      </c>
      <c r="F64" s="42">
        <v>0.0</v>
      </c>
      <c r="G64" s="111">
        <f t="shared" si="9"/>
        <v>45384</v>
      </c>
      <c r="H64" s="60"/>
      <c r="I64" s="60"/>
    </row>
    <row r="65" ht="15.75" hidden="1" customHeight="1" outlineLevel="1">
      <c r="A65" s="60" t="s">
        <v>667</v>
      </c>
      <c r="B65" s="97" t="s">
        <v>666</v>
      </c>
      <c r="C65" s="112">
        <v>1.0</v>
      </c>
      <c r="D65" s="103" t="str">
        <f>IFERROR(__xludf.DUMMYFUNCTION("SPARKLINE(C65,{""charttype"",""bar"";""max"",1})"),"")</f>
        <v/>
      </c>
      <c r="E65" s="111">
        <f t="shared" si="10"/>
        <v>45384</v>
      </c>
      <c r="F65" s="42">
        <v>0.0</v>
      </c>
      <c r="G65" s="111">
        <f t="shared" si="9"/>
        <v>45384</v>
      </c>
      <c r="H65" s="60"/>
      <c r="I65" s="60"/>
    </row>
    <row r="66" ht="15.75" hidden="1" customHeight="1" outlineLevel="1">
      <c r="A66" s="60" t="s">
        <v>668</v>
      </c>
      <c r="B66" s="97" t="s">
        <v>669</v>
      </c>
      <c r="C66" s="112">
        <v>1.0</v>
      </c>
      <c r="D66" s="103" t="str">
        <f>IFERROR(__xludf.DUMMYFUNCTION("SPARKLINE(C66,{""charttype"",""bar"";""max"",1})"),"")</f>
        <v/>
      </c>
      <c r="E66" s="111">
        <f t="shared" si="10"/>
        <v>45384</v>
      </c>
      <c r="F66" s="42">
        <v>0.0</v>
      </c>
      <c r="G66" s="111">
        <f t="shared" si="9"/>
        <v>45384</v>
      </c>
      <c r="H66" s="60"/>
      <c r="I66" s="60"/>
    </row>
    <row r="67" ht="15.75" customHeight="1" collapsed="1">
      <c r="A67" s="94" t="s">
        <v>670</v>
      </c>
      <c r="B67" s="60"/>
      <c r="C67" s="107">
        <f>Average(C68:C73)</f>
        <v>1</v>
      </c>
      <c r="D67" s="103" t="str">
        <f>IFERROR(__xludf.DUMMYFUNCTION("SPARKLINE(C67,{""charttype"",""bar"";""max"",1})"),"")</f>
        <v/>
      </c>
      <c r="E67" s="108">
        <f>min(E68:E73)</f>
        <v>45384</v>
      </c>
      <c r="F67" s="109">
        <f>G67-E67</f>
        <v>20</v>
      </c>
      <c r="G67" s="108">
        <f>MAX(G68:G73)</f>
        <v>45404</v>
      </c>
      <c r="H67" s="94">
        <f>sum(H68:H73)</f>
        <v>2</v>
      </c>
      <c r="I67" s="60"/>
    </row>
    <row r="68" ht="15.75" hidden="1" customHeight="1" outlineLevel="1">
      <c r="A68" s="60" t="s">
        <v>671</v>
      </c>
      <c r="B68" s="97" t="s">
        <v>672</v>
      </c>
      <c r="C68" s="112">
        <v>1.0</v>
      </c>
      <c r="D68" s="103" t="str">
        <f>IFERROR(__xludf.DUMMYFUNCTION("SPARKLINE(C68,{""charttype"",""bar"";""max"",1})"),"")</f>
        <v/>
      </c>
      <c r="E68" s="111">
        <f>workday(G56,1)</f>
        <v>45384</v>
      </c>
      <c r="F68" s="42">
        <v>2.0</v>
      </c>
      <c r="G68" s="111">
        <f t="shared" ref="G68:G71" si="11">if(F68=0,G67, workday(E68,F68-1))+WORKDAY(H68,H67)</f>
        <v>45388</v>
      </c>
      <c r="H68" s="60">
        <v>1.0</v>
      </c>
      <c r="I68" s="60"/>
    </row>
    <row r="69" ht="15.75" hidden="1" customHeight="1" outlineLevel="1">
      <c r="A69" s="60" t="s">
        <v>673</v>
      </c>
      <c r="B69" s="97" t="s">
        <v>633</v>
      </c>
      <c r="C69" s="112">
        <v>1.0</v>
      </c>
      <c r="D69" s="103" t="str">
        <f>IFERROR(__xludf.DUMMYFUNCTION("SPARKLINE(C69,{""charttype"",""bar"";""max"",1})"),"")</f>
        <v/>
      </c>
      <c r="E69" s="111">
        <f t="shared" ref="E69:E73" si="12">if(F69=0,E68,if(H68=0,workday(G68,1),workday(G68,H68)))</f>
        <v>45390</v>
      </c>
      <c r="F69" s="42">
        <v>2.0</v>
      </c>
      <c r="G69" s="111">
        <f t="shared" si="11"/>
        <v>45393</v>
      </c>
      <c r="H69" s="60">
        <v>1.0</v>
      </c>
      <c r="I69" s="60"/>
    </row>
    <row r="70" ht="15.75" hidden="1" customHeight="1" outlineLevel="1">
      <c r="A70" s="60" t="s">
        <v>674</v>
      </c>
      <c r="B70" s="97" t="s">
        <v>616</v>
      </c>
      <c r="C70" s="112">
        <v>1.0</v>
      </c>
      <c r="D70" s="103" t="str">
        <f>IFERROR(__xludf.DUMMYFUNCTION("SPARKLINE(C70,{""charttype"",""bar"";""max"",1})"),"")</f>
        <v/>
      </c>
      <c r="E70" s="111">
        <f t="shared" si="12"/>
        <v>45394</v>
      </c>
      <c r="F70" s="42">
        <v>3.0</v>
      </c>
      <c r="G70" s="111">
        <f t="shared" si="11"/>
        <v>45400</v>
      </c>
      <c r="H70" s="60">
        <v>0.0</v>
      </c>
      <c r="I70" s="60"/>
    </row>
    <row r="71" ht="15.75" hidden="1" customHeight="1" outlineLevel="1">
      <c r="A71" s="60" t="s">
        <v>675</v>
      </c>
      <c r="B71" s="60"/>
      <c r="C71" s="112">
        <v>1.0</v>
      </c>
      <c r="D71" s="103" t="str">
        <f>IFERROR(__xludf.DUMMYFUNCTION("SPARKLINE(C71,{""charttype"",""bar"";""max"",1})"),"")</f>
        <v/>
      </c>
      <c r="E71" s="111">
        <f t="shared" si="12"/>
        <v>45401</v>
      </c>
      <c r="F71" s="42">
        <v>1.0</v>
      </c>
      <c r="G71" s="111">
        <f t="shared" si="11"/>
        <v>45401</v>
      </c>
      <c r="H71" s="60"/>
      <c r="I71" s="60"/>
    </row>
    <row r="72" ht="15.75" hidden="1" customHeight="1" outlineLevel="1">
      <c r="A72" s="60" t="s">
        <v>676</v>
      </c>
      <c r="B72" s="60"/>
      <c r="C72" s="112">
        <v>1.0</v>
      </c>
      <c r="D72" s="103" t="str">
        <f>IFERROR(__xludf.DUMMYFUNCTION("SPARKLINE(C72,{""charttype"",""bar"";""max"",1})"),"")</f>
        <v/>
      </c>
      <c r="E72" s="111">
        <f t="shared" si="12"/>
        <v>45404</v>
      </c>
      <c r="F72" s="42">
        <v>1.0</v>
      </c>
      <c r="G72" s="111">
        <f>if(F72=0,G70, workday(E72,F72-1))+WORKDAY(H72,H70)</f>
        <v>45404</v>
      </c>
      <c r="H72" s="60"/>
      <c r="I72" s="60"/>
    </row>
    <row r="73" ht="15.75" hidden="1" customHeight="1" outlineLevel="1">
      <c r="A73" s="60" t="s">
        <v>677</v>
      </c>
      <c r="B73" s="60"/>
      <c r="C73" s="112">
        <v>1.0</v>
      </c>
      <c r="D73" s="103" t="str">
        <f>IFERROR(__xludf.DUMMYFUNCTION("SPARKLINE(C73,{""charttype"",""bar"";""max"",1})"),"")</f>
        <v/>
      </c>
      <c r="E73" s="111">
        <f t="shared" si="12"/>
        <v>45404</v>
      </c>
      <c r="F73" s="42">
        <v>0.0</v>
      </c>
      <c r="G73" s="111">
        <f>if(F73=0,G72, workday(E73,F73-1))+WORKDAY(H73,H72)</f>
        <v>45404</v>
      </c>
      <c r="H73" s="60"/>
      <c r="I73" s="60"/>
    </row>
    <row r="74" ht="15.75" customHeight="1" collapsed="1">
      <c r="A74" s="94" t="s">
        <v>197</v>
      </c>
      <c r="B74" s="60"/>
      <c r="C74" s="107">
        <f>AVERAGE(C75:C87)</f>
        <v>1</v>
      </c>
      <c r="D74" s="103" t="str">
        <f>IFERROR(__xludf.DUMMYFUNCTION("SPARKLINE(C74,{""charttype"",""bar"";""max"",1})"),"")</f>
        <v/>
      </c>
      <c r="E74" s="108">
        <f>min(E75:E87)</f>
        <v>45405</v>
      </c>
      <c r="F74" s="109">
        <f>G74-E74</f>
        <v>51</v>
      </c>
      <c r="G74" s="108">
        <f>MAX(G75:G87)</f>
        <v>45456</v>
      </c>
      <c r="H74" s="94">
        <f>sum(H75:H87)</f>
        <v>9</v>
      </c>
      <c r="I74" s="60"/>
    </row>
    <row r="75" ht="15.75" hidden="1" customHeight="1" outlineLevel="1">
      <c r="A75" s="60" t="s">
        <v>678</v>
      </c>
      <c r="B75" s="97" t="s">
        <v>679</v>
      </c>
      <c r="C75" s="112">
        <v>1.0</v>
      </c>
      <c r="D75" s="103" t="str">
        <f>IFERROR(__xludf.DUMMYFUNCTION("SPARKLINE(C75,{""charttype"",""bar"";""max"",1})"),"")</f>
        <v/>
      </c>
      <c r="E75" s="111">
        <f>workday(G73,1)</f>
        <v>45405</v>
      </c>
      <c r="F75" s="42">
        <v>1.0</v>
      </c>
      <c r="G75" s="111">
        <f t="shared" ref="G75:G87" si="13">if(F75=1,E75,WORKDAY(E75,(F75+H75)))</f>
        <v>45405</v>
      </c>
      <c r="H75" s="60"/>
      <c r="I75" s="60"/>
    </row>
    <row r="76" ht="15.75" hidden="1" customHeight="1" outlineLevel="1">
      <c r="A76" s="60" t="s">
        <v>680</v>
      </c>
      <c r="B76" s="97" t="s">
        <v>681</v>
      </c>
      <c r="C76" s="112">
        <v>1.0</v>
      </c>
      <c r="D76" s="103" t="str">
        <f>IFERROR(__xludf.DUMMYFUNCTION("SPARKLINE(C76,{""charttype"",""bar"";""max"",1})"),"")</f>
        <v/>
      </c>
      <c r="E76" s="111">
        <f t="shared" ref="E76:E87" si="14">if(F76=0,E75,workday(G75,1))</f>
        <v>45406</v>
      </c>
      <c r="F76" s="42">
        <v>1.0</v>
      </c>
      <c r="G76" s="111">
        <f t="shared" si="13"/>
        <v>45406</v>
      </c>
      <c r="H76" s="60"/>
      <c r="I76" s="60"/>
    </row>
    <row r="77" ht="15.75" hidden="1" customHeight="1" outlineLevel="1">
      <c r="A77" s="60" t="s">
        <v>682</v>
      </c>
      <c r="B77" s="97" t="s">
        <v>679</v>
      </c>
      <c r="C77" s="112">
        <v>1.0</v>
      </c>
      <c r="D77" s="103" t="str">
        <f>IFERROR(__xludf.DUMMYFUNCTION("SPARKLINE(C77,{""charttype"",""bar"";""max"",1})"),"")</f>
        <v/>
      </c>
      <c r="E77" s="111">
        <f t="shared" si="14"/>
        <v>45406</v>
      </c>
      <c r="F77" s="42">
        <v>0.0</v>
      </c>
      <c r="G77" s="111">
        <f t="shared" si="13"/>
        <v>45406</v>
      </c>
      <c r="H77" s="60"/>
      <c r="I77" s="60"/>
    </row>
    <row r="78" ht="15.75" hidden="1" customHeight="1" outlineLevel="1">
      <c r="A78" s="60" t="s">
        <v>683</v>
      </c>
      <c r="B78" s="60"/>
      <c r="C78" s="112">
        <v>1.0</v>
      </c>
      <c r="D78" s="103" t="str">
        <f>IFERROR(__xludf.DUMMYFUNCTION("SPARKLINE(C78,{""charttype"",""bar"";""max"",1})"),"")</f>
        <v/>
      </c>
      <c r="E78" s="111">
        <f t="shared" si="14"/>
        <v>45407</v>
      </c>
      <c r="F78" s="42">
        <v>1.0</v>
      </c>
      <c r="G78" s="111">
        <f t="shared" si="13"/>
        <v>45407</v>
      </c>
      <c r="H78" s="60"/>
      <c r="I78" s="60"/>
    </row>
    <row r="79" ht="15.75" hidden="1" customHeight="1" outlineLevel="1">
      <c r="A79" s="60" t="s">
        <v>684</v>
      </c>
      <c r="B79" s="60"/>
      <c r="C79" s="112">
        <v>1.0</v>
      </c>
      <c r="D79" s="103" t="str">
        <f>IFERROR(__xludf.DUMMYFUNCTION("SPARKLINE(C79,{""charttype"",""bar"";""max"",1})"),"")</f>
        <v/>
      </c>
      <c r="E79" s="111">
        <f t="shared" si="14"/>
        <v>45408</v>
      </c>
      <c r="F79" s="42">
        <v>2.0</v>
      </c>
      <c r="G79" s="111">
        <f t="shared" si="13"/>
        <v>45425</v>
      </c>
      <c r="H79" s="60">
        <v>9.0</v>
      </c>
      <c r="I79" s="60"/>
    </row>
    <row r="80" ht="15.75" hidden="1" customHeight="1" outlineLevel="1">
      <c r="A80" s="60" t="s">
        <v>685</v>
      </c>
      <c r="B80" s="60"/>
      <c r="C80" s="112">
        <v>1.0</v>
      </c>
      <c r="D80" s="103" t="str">
        <f>IFERROR(__xludf.DUMMYFUNCTION("SPARKLINE(C80,{""charttype"",""bar"";""max"",1})"),"")</f>
        <v/>
      </c>
      <c r="E80" s="111">
        <f t="shared" si="14"/>
        <v>45426</v>
      </c>
      <c r="F80" s="42">
        <v>3.0</v>
      </c>
      <c r="G80" s="111">
        <f t="shared" si="13"/>
        <v>45429</v>
      </c>
      <c r="H80" s="60"/>
      <c r="I80" s="60"/>
    </row>
    <row r="81" ht="15.75" hidden="1" customHeight="1" outlineLevel="1">
      <c r="A81" s="60" t="s">
        <v>686</v>
      </c>
      <c r="B81" s="60"/>
      <c r="C81" s="112">
        <v>1.0</v>
      </c>
      <c r="D81" s="103" t="str">
        <f>IFERROR(__xludf.DUMMYFUNCTION("SPARKLINE(C81,{""charttype"",""bar"";""max"",1})"),"")</f>
        <v/>
      </c>
      <c r="E81" s="111">
        <f t="shared" si="14"/>
        <v>45432</v>
      </c>
      <c r="F81" s="42">
        <v>1.0</v>
      </c>
      <c r="G81" s="111">
        <f t="shared" si="13"/>
        <v>45432</v>
      </c>
      <c r="H81" s="60"/>
      <c r="I81" s="60"/>
    </row>
    <row r="82" ht="15.75" hidden="1" customHeight="1" outlineLevel="1">
      <c r="A82" s="60" t="s">
        <v>687</v>
      </c>
      <c r="B82" s="60"/>
      <c r="C82" s="112">
        <v>1.0</v>
      </c>
      <c r="D82" s="103" t="str">
        <f>IFERROR(__xludf.DUMMYFUNCTION("SPARKLINE(C82,{""charttype"",""bar"";""max"",1})"),"")</f>
        <v/>
      </c>
      <c r="E82" s="111">
        <f t="shared" si="14"/>
        <v>45433</v>
      </c>
      <c r="F82" s="42">
        <v>3.0</v>
      </c>
      <c r="G82" s="111">
        <f t="shared" si="13"/>
        <v>45436</v>
      </c>
      <c r="H82" s="60"/>
      <c r="I82" s="60"/>
    </row>
    <row r="83" ht="15.75" hidden="1" customHeight="1" outlineLevel="1">
      <c r="A83" s="60" t="s">
        <v>688</v>
      </c>
      <c r="B83" s="97" t="s">
        <v>689</v>
      </c>
      <c r="C83" s="112">
        <v>1.0</v>
      </c>
      <c r="D83" s="103" t="str">
        <f>IFERROR(__xludf.DUMMYFUNCTION("SPARKLINE(C83,{""charttype"",""bar"";""max"",1})"),"")</f>
        <v/>
      </c>
      <c r="E83" s="111">
        <f t="shared" si="14"/>
        <v>45439</v>
      </c>
      <c r="F83" s="42">
        <v>5.0</v>
      </c>
      <c r="G83" s="111">
        <f t="shared" si="13"/>
        <v>45446</v>
      </c>
      <c r="H83" s="60"/>
      <c r="I83" s="60"/>
    </row>
    <row r="84" ht="15.75" hidden="1" customHeight="1" outlineLevel="1">
      <c r="A84" s="60" t="s">
        <v>690</v>
      </c>
      <c r="B84" s="60"/>
      <c r="C84" s="112">
        <v>1.0</v>
      </c>
      <c r="D84" s="103" t="str">
        <f>IFERROR(__xludf.DUMMYFUNCTION("SPARKLINE(C84,{""charttype"",""bar"";""max"",1})"),"")</f>
        <v/>
      </c>
      <c r="E84" s="111">
        <f t="shared" si="14"/>
        <v>45447</v>
      </c>
      <c r="F84" s="42">
        <v>2.0</v>
      </c>
      <c r="G84" s="111">
        <f t="shared" si="13"/>
        <v>45449</v>
      </c>
      <c r="H84" s="60"/>
      <c r="I84" s="60"/>
    </row>
    <row r="85" ht="15.75" hidden="1" customHeight="1" outlineLevel="1">
      <c r="A85" s="60" t="s">
        <v>691</v>
      </c>
      <c r="B85" s="60"/>
      <c r="C85" s="112">
        <v>1.0</v>
      </c>
      <c r="D85" s="103" t="str">
        <f>IFERROR(__xludf.DUMMYFUNCTION("SPARKLINE(C85,{""charttype"",""bar"";""max"",1})"),"")</f>
        <v/>
      </c>
      <c r="E85" s="111">
        <f t="shared" si="14"/>
        <v>45450</v>
      </c>
      <c r="F85" s="42">
        <v>2.0</v>
      </c>
      <c r="G85" s="111">
        <f t="shared" si="13"/>
        <v>45454</v>
      </c>
      <c r="H85" s="60"/>
      <c r="I85" s="60"/>
    </row>
    <row r="86" ht="15.75" hidden="1" customHeight="1" outlineLevel="1">
      <c r="A86" s="60" t="s">
        <v>692</v>
      </c>
      <c r="B86" s="60"/>
      <c r="C86" s="112">
        <v>1.0</v>
      </c>
      <c r="D86" s="103" t="str">
        <f>IFERROR(__xludf.DUMMYFUNCTION("SPARKLINE(C86,{""charttype"",""bar"";""max"",1})"),"")</f>
        <v/>
      </c>
      <c r="E86" s="111">
        <f t="shared" si="14"/>
        <v>45455</v>
      </c>
      <c r="F86" s="42">
        <v>1.0</v>
      </c>
      <c r="G86" s="111">
        <f t="shared" si="13"/>
        <v>45455</v>
      </c>
      <c r="H86" s="60"/>
      <c r="I86" s="60"/>
    </row>
    <row r="87" ht="15.75" hidden="1" customHeight="1" outlineLevel="1">
      <c r="A87" s="60" t="s">
        <v>693</v>
      </c>
      <c r="B87" s="60"/>
      <c r="C87" s="112">
        <v>1.0</v>
      </c>
      <c r="D87" s="103" t="str">
        <f>IFERROR(__xludf.DUMMYFUNCTION("SPARKLINE(C87,{""charttype"",""bar"";""max"",1})"),"")</f>
        <v/>
      </c>
      <c r="E87" s="111">
        <f t="shared" si="14"/>
        <v>45456</v>
      </c>
      <c r="F87" s="42">
        <v>1.0</v>
      </c>
      <c r="G87" s="111">
        <f t="shared" si="13"/>
        <v>45456</v>
      </c>
      <c r="H87" s="60"/>
      <c r="I87" s="60"/>
    </row>
    <row r="88" ht="15.75" customHeight="1" collapsed="1">
      <c r="A88" s="94" t="s">
        <v>694</v>
      </c>
      <c r="B88" s="60"/>
      <c r="C88" s="107">
        <f>AVERAGE(C89:C100)</f>
        <v>0.9875</v>
      </c>
      <c r="D88" s="103" t="str">
        <f>IFERROR(__xludf.DUMMYFUNCTION("SPARKLINE(C88,{""charttype"",""bar"";""max"",1})"),"")</f>
        <v/>
      </c>
      <c r="E88" s="108">
        <f>min(E89:E100)</f>
        <v>45405</v>
      </c>
      <c r="F88" s="109">
        <f>G88-E88</f>
        <v>43</v>
      </c>
      <c r="G88" s="108">
        <f>MAX(G89:G100)</f>
        <v>45448</v>
      </c>
      <c r="H88" s="94">
        <f>sum(H89:H100)</f>
        <v>3</v>
      </c>
      <c r="I88" s="60"/>
    </row>
    <row r="89" ht="15.75" hidden="1" customHeight="1" outlineLevel="1">
      <c r="A89" s="60" t="s">
        <v>695</v>
      </c>
      <c r="B89" s="97" t="s">
        <v>666</v>
      </c>
      <c r="C89" s="112">
        <v>1.0</v>
      </c>
      <c r="D89" s="103" t="str">
        <f>IFERROR(__xludf.DUMMYFUNCTION("SPARKLINE(C89,{""charttype"",""bar"";""max"",1})"),"")</f>
        <v/>
      </c>
      <c r="E89" s="111">
        <f>workday(G72,1)</f>
        <v>45405</v>
      </c>
      <c r="F89" s="42">
        <v>2.0</v>
      </c>
      <c r="G89" s="111">
        <f>if(F89=1,E89,WORKDAY(E89,(F89)))</f>
        <v>45407</v>
      </c>
      <c r="H89" s="60"/>
      <c r="I89" s="60"/>
    </row>
    <row r="90" ht="15.75" hidden="1" customHeight="1" outlineLevel="1">
      <c r="A90" s="60" t="s">
        <v>696</v>
      </c>
      <c r="B90" s="60"/>
      <c r="C90" s="112">
        <v>1.0</v>
      </c>
      <c r="D90" s="103" t="str">
        <f>IFERROR(__xludf.DUMMYFUNCTION("SPARKLINE(C90,{""charttype"",""bar"";""max"",1})"),"")</f>
        <v/>
      </c>
      <c r="E90" s="111">
        <f>if(F90=0,E89,workday(G89,1+H90))</f>
        <v>45408</v>
      </c>
      <c r="F90" s="42">
        <v>1.0</v>
      </c>
      <c r="G90" s="111">
        <f t="shared" ref="G90:G96" si="15">if(F90=1,E90,WORKDAY(E90,(F90+H90)))</f>
        <v>45408</v>
      </c>
      <c r="H90" s="60"/>
      <c r="I90" s="60"/>
    </row>
    <row r="91" ht="15.75" hidden="1" customHeight="1" outlineLevel="1">
      <c r="A91" s="60" t="s">
        <v>697</v>
      </c>
      <c r="B91" s="60"/>
      <c r="C91" s="112">
        <v>1.0</v>
      </c>
      <c r="D91" s="103" t="str">
        <f>IFERROR(__xludf.DUMMYFUNCTION("SPARKLINE(C91,{""charttype"",""bar"";""max"",1})"),"")</f>
        <v/>
      </c>
      <c r="E91" s="111">
        <f t="shared" ref="E91:E96" si="16">if(F91=0,E90,workday(G90,1))</f>
        <v>45411</v>
      </c>
      <c r="F91" s="42">
        <v>3.0</v>
      </c>
      <c r="G91" s="111">
        <f t="shared" si="15"/>
        <v>45414</v>
      </c>
      <c r="H91" s="60"/>
      <c r="I91" s="60"/>
    </row>
    <row r="92" ht="15.75" hidden="1" customHeight="1" outlineLevel="1">
      <c r="A92" s="60" t="s">
        <v>698</v>
      </c>
      <c r="B92" s="97" t="s">
        <v>681</v>
      </c>
      <c r="C92" s="112">
        <v>1.0</v>
      </c>
      <c r="D92" s="103" t="str">
        <f>IFERROR(__xludf.DUMMYFUNCTION("SPARKLINE(C92,{""charttype"",""bar"";""max"",1})"),"")</f>
        <v/>
      </c>
      <c r="E92" s="111">
        <f t="shared" si="16"/>
        <v>45415</v>
      </c>
      <c r="F92" s="42">
        <v>1.0</v>
      </c>
      <c r="G92" s="111">
        <f t="shared" si="15"/>
        <v>45415</v>
      </c>
      <c r="H92" s="60"/>
      <c r="I92" s="60"/>
    </row>
    <row r="93" ht="15.75" hidden="1" customHeight="1" outlineLevel="1">
      <c r="A93" s="60" t="s">
        <v>699</v>
      </c>
      <c r="B93" s="60"/>
      <c r="C93" s="112">
        <v>1.0</v>
      </c>
      <c r="D93" s="103" t="str">
        <f>IFERROR(__xludf.DUMMYFUNCTION("SPARKLINE(C93,{""charttype"",""bar"";""max"",1})"),"")</f>
        <v/>
      </c>
      <c r="E93" s="111">
        <f t="shared" si="16"/>
        <v>45418</v>
      </c>
      <c r="F93" s="42">
        <v>4.0</v>
      </c>
      <c r="G93" s="111">
        <f t="shared" si="15"/>
        <v>45425</v>
      </c>
      <c r="H93" s="60">
        <v>1.0</v>
      </c>
      <c r="I93" s="60"/>
    </row>
    <row r="94" ht="15.75" hidden="1" customHeight="1" outlineLevel="1">
      <c r="A94" s="60" t="s">
        <v>700</v>
      </c>
      <c r="B94" s="60"/>
      <c r="C94" s="112">
        <v>1.0</v>
      </c>
      <c r="D94" s="103" t="str">
        <f>IFERROR(__xludf.DUMMYFUNCTION("SPARKLINE(C94,{""charttype"",""bar"";""max"",1})"),"")</f>
        <v/>
      </c>
      <c r="E94" s="111">
        <f t="shared" si="16"/>
        <v>45418</v>
      </c>
      <c r="F94" s="42">
        <v>0.0</v>
      </c>
      <c r="G94" s="111">
        <f t="shared" si="15"/>
        <v>45418</v>
      </c>
      <c r="H94" s="60"/>
      <c r="I94" s="60"/>
    </row>
    <row r="95" ht="15.75" hidden="1" customHeight="1" outlineLevel="1">
      <c r="A95" s="60" t="s">
        <v>701</v>
      </c>
      <c r="B95" s="60"/>
      <c r="C95" s="112">
        <v>1.0</v>
      </c>
      <c r="D95" s="103" t="str">
        <f>IFERROR(__xludf.DUMMYFUNCTION("SPARKLINE(C95,{""charttype"",""bar"";""max"",1})"),"")</f>
        <v/>
      </c>
      <c r="E95" s="111">
        <f t="shared" si="16"/>
        <v>45419</v>
      </c>
      <c r="F95" s="42">
        <v>11.0</v>
      </c>
      <c r="G95" s="111">
        <f t="shared" si="15"/>
        <v>45434</v>
      </c>
      <c r="H95" s="60"/>
      <c r="I95" s="60"/>
    </row>
    <row r="96" ht="15.75" hidden="1" customHeight="1" outlineLevel="1">
      <c r="A96" s="60" t="s">
        <v>702</v>
      </c>
      <c r="B96" s="60"/>
      <c r="C96" s="112">
        <v>1.0</v>
      </c>
      <c r="D96" s="103" t="str">
        <f>IFERROR(__xludf.DUMMYFUNCTION("SPARKLINE(C96,{""charttype"",""bar"";""max"",1})"),"")</f>
        <v/>
      </c>
      <c r="E96" s="111">
        <f t="shared" si="16"/>
        <v>45435</v>
      </c>
      <c r="F96" s="42">
        <v>1.0</v>
      </c>
      <c r="G96" s="111">
        <f t="shared" si="15"/>
        <v>45435</v>
      </c>
      <c r="H96" s="60"/>
      <c r="I96" s="60"/>
    </row>
    <row r="97" ht="15.75" hidden="1" customHeight="1" outlineLevel="1">
      <c r="A97" s="60" t="s">
        <v>102</v>
      </c>
      <c r="B97" s="97" t="s">
        <v>703</v>
      </c>
      <c r="C97" s="112">
        <v>1.0</v>
      </c>
      <c r="D97" s="103" t="str">
        <f>IFERROR(__xludf.DUMMYFUNCTION("SPARKLINE(C97,{""charttype"",""bar"";""max"",1})"),"")</f>
        <v/>
      </c>
      <c r="E97" s="111">
        <f t="shared" ref="E97:E100" si="17">if(F97=0,E96,workday(G96,1+H97))</f>
        <v>45440</v>
      </c>
      <c r="F97" s="42">
        <v>5.0</v>
      </c>
      <c r="G97" s="111">
        <f t="shared" ref="G97:G100" si="18">if(F97=1,E97,WORKDAY(E97,(F97)))</f>
        <v>45447</v>
      </c>
      <c r="H97" s="60">
        <v>2.0</v>
      </c>
      <c r="I97" s="60"/>
    </row>
    <row r="98" ht="15.75" hidden="1" customHeight="1" outlineLevel="1">
      <c r="A98" s="60" t="s">
        <v>704</v>
      </c>
      <c r="B98" s="97" t="s">
        <v>616</v>
      </c>
      <c r="C98" s="112">
        <v>1.0</v>
      </c>
      <c r="D98" s="103" t="str">
        <f>IFERROR(__xludf.DUMMYFUNCTION("SPARKLINE(C98,{""charttype"",""bar"";""max"",1})"),"")</f>
        <v/>
      </c>
      <c r="E98" s="111">
        <f t="shared" si="17"/>
        <v>45440</v>
      </c>
      <c r="F98" s="42">
        <v>0.0</v>
      </c>
      <c r="G98" s="111">
        <f t="shared" si="18"/>
        <v>45440</v>
      </c>
      <c r="H98" s="60"/>
      <c r="I98" s="60"/>
    </row>
    <row r="99" ht="15.75" hidden="1" customHeight="1" outlineLevel="1">
      <c r="A99" s="60" t="s">
        <v>104</v>
      </c>
      <c r="B99" s="97" t="s">
        <v>666</v>
      </c>
      <c r="C99" s="112">
        <v>1.0</v>
      </c>
      <c r="D99" s="103" t="str">
        <f>IFERROR(__xludf.DUMMYFUNCTION("SPARKLINE(C99,{""charttype"",""bar"";""max"",1})"),"")</f>
        <v/>
      </c>
      <c r="E99" s="111">
        <f t="shared" si="17"/>
        <v>45440</v>
      </c>
      <c r="F99" s="42">
        <v>0.0</v>
      </c>
      <c r="G99" s="111">
        <f t="shared" si="18"/>
        <v>45440</v>
      </c>
      <c r="H99" s="60"/>
      <c r="I99" s="60"/>
    </row>
    <row r="100" ht="15.75" hidden="1" customHeight="1" outlineLevel="1">
      <c r="A100" s="60" t="s">
        <v>705</v>
      </c>
      <c r="B100" s="97" t="s">
        <v>672</v>
      </c>
      <c r="C100" s="112">
        <v>0.85</v>
      </c>
      <c r="D100" s="103" t="str">
        <f>IFERROR(__xludf.DUMMYFUNCTION("SPARKLINE(C100,{""charttype"",""bar"";""max"",1})"),"")</f>
        <v/>
      </c>
      <c r="E100" s="111">
        <f t="shared" si="17"/>
        <v>45441</v>
      </c>
      <c r="F100" s="42">
        <v>5.0</v>
      </c>
      <c r="G100" s="111">
        <f t="shared" si="18"/>
        <v>45448</v>
      </c>
      <c r="H100" s="60"/>
      <c r="I100" s="60"/>
    </row>
    <row r="101" ht="15.75" customHeight="1" collapsed="1">
      <c r="A101" s="94" t="s">
        <v>706</v>
      </c>
      <c r="B101" s="60"/>
      <c r="C101" s="107">
        <f>Average(C102:C111)</f>
        <v>0.997</v>
      </c>
      <c r="D101" s="103" t="str">
        <f>IFERROR(__xludf.DUMMYFUNCTION("SPARKLINE(C101,{""charttype"",""bar"";""max"",1})"),"")</f>
        <v/>
      </c>
      <c r="E101" s="108">
        <f>Min(E102:E111)</f>
        <v>45448</v>
      </c>
      <c r="F101" s="109">
        <f>G101-E101</f>
        <v>47</v>
      </c>
      <c r="G101" s="108">
        <f>MAX(G102:G111)</f>
        <v>45495</v>
      </c>
      <c r="H101" s="94">
        <f>sum(H102:H111)</f>
        <v>0</v>
      </c>
      <c r="I101" s="60"/>
    </row>
    <row r="102" ht="15.75" hidden="1" customHeight="1" outlineLevel="1">
      <c r="A102" s="60" t="s">
        <v>707</v>
      </c>
      <c r="B102" s="60"/>
      <c r="C102" s="112">
        <v>1.0</v>
      </c>
      <c r="D102" s="103" t="str">
        <f>IFERROR(__xludf.DUMMYFUNCTION("SPARKLINE(C102,{""charttype"",""bar"";""max"",1})"),"")</f>
        <v/>
      </c>
      <c r="E102" s="111">
        <f>workday(G97,1)</f>
        <v>45448</v>
      </c>
      <c r="F102" s="42">
        <v>1.0</v>
      </c>
      <c r="G102" s="111">
        <f t="shared" ref="G102:G111" si="19">if(F102=1,E102,WORKDAY(E102,(F102)))</f>
        <v>45448</v>
      </c>
      <c r="H102" s="60"/>
      <c r="I102" s="60"/>
    </row>
    <row r="103" ht="15.75" hidden="1" customHeight="1" outlineLevel="1">
      <c r="A103" s="60" t="s">
        <v>708</v>
      </c>
      <c r="B103" s="60"/>
      <c r="C103" s="112">
        <v>1.0</v>
      </c>
      <c r="D103" s="103" t="str">
        <f>IFERROR(__xludf.DUMMYFUNCTION("SPARKLINE(C103,{""charttype"",""bar"";""max"",1})"),"")</f>
        <v/>
      </c>
      <c r="E103" s="111">
        <f t="shared" ref="E103:E111" si="20">if(F103=0,E102,workday(G102,1+H103))</f>
        <v>45449</v>
      </c>
      <c r="F103" s="42">
        <v>11.0</v>
      </c>
      <c r="G103" s="111">
        <f t="shared" si="19"/>
        <v>45464</v>
      </c>
      <c r="H103" s="60"/>
      <c r="I103" s="60"/>
    </row>
    <row r="104" ht="15.75" hidden="1" customHeight="1" outlineLevel="1">
      <c r="A104" s="60" t="s">
        <v>709</v>
      </c>
      <c r="B104" s="60"/>
      <c r="C104" s="112">
        <v>1.0</v>
      </c>
      <c r="D104" s="103" t="str">
        <f>IFERROR(__xludf.DUMMYFUNCTION("SPARKLINE(C104,{""charttype"",""bar"";""max"",1})"),"")</f>
        <v/>
      </c>
      <c r="E104" s="111">
        <f t="shared" si="20"/>
        <v>45467</v>
      </c>
      <c r="F104" s="42">
        <v>2.0</v>
      </c>
      <c r="G104" s="111">
        <f t="shared" si="19"/>
        <v>45469</v>
      </c>
      <c r="H104" s="60"/>
      <c r="I104" s="60"/>
    </row>
    <row r="105" ht="15.75" hidden="1" customHeight="1" outlineLevel="1">
      <c r="A105" s="60" t="s">
        <v>710</v>
      </c>
      <c r="B105" s="97" t="s">
        <v>711</v>
      </c>
      <c r="C105" s="112">
        <v>0.97</v>
      </c>
      <c r="D105" s="103" t="str">
        <f>IFERROR(__xludf.DUMMYFUNCTION("SPARKLINE(C105,{""charttype"",""bar"";""max"",1})"),"")</f>
        <v/>
      </c>
      <c r="E105" s="111">
        <f t="shared" si="20"/>
        <v>45470</v>
      </c>
      <c r="F105" s="42">
        <v>5.0</v>
      </c>
      <c r="G105" s="111">
        <f t="shared" si="19"/>
        <v>45477</v>
      </c>
      <c r="H105" s="60"/>
      <c r="I105" s="60"/>
    </row>
    <row r="106" ht="15.75" hidden="1" customHeight="1" outlineLevel="1">
      <c r="A106" s="60" t="s">
        <v>712</v>
      </c>
      <c r="B106" s="97" t="s">
        <v>713</v>
      </c>
      <c r="C106" s="112">
        <v>1.0</v>
      </c>
      <c r="D106" s="103" t="str">
        <f>IFERROR(__xludf.DUMMYFUNCTION("SPARKLINE(C106,{""charttype"",""bar"";""max"",1})"),"")</f>
        <v/>
      </c>
      <c r="E106" s="111">
        <f t="shared" si="20"/>
        <v>45478</v>
      </c>
      <c r="F106" s="42">
        <v>1.0</v>
      </c>
      <c r="G106" s="111">
        <f t="shared" si="19"/>
        <v>45478</v>
      </c>
      <c r="H106" s="60"/>
      <c r="I106" s="60"/>
    </row>
    <row r="107" ht="15.75" hidden="1" customHeight="1" outlineLevel="1">
      <c r="A107" s="60" t="s">
        <v>714</v>
      </c>
      <c r="B107" s="60"/>
      <c r="C107" s="112">
        <v>1.0</v>
      </c>
      <c r="D107" s="103" t="str">
        <f>IFERROR(__xludf.DUMMYFUNCTION("SPARKLINE(C107,{""charttype"",""bar"";""max"",1})"),"")</f>
        <v/>
      </c>
      <c r="E107" s="111">
        <f t="shared" si="20"/>
        <v>45481</v>
      </c>
      <c r="F107" s="42">
        <v>10.0</v>
      </c>
      <c r="G107" s="111">
        <f t="shared" si="19"/>
        <v>45495</v>
      </c>
      <c r="H107" s="60"/>
      <c r="I107" s="60"/>
    </row>
    <row r="108" ht="15.75" hidden="1" customHeight="1" outlineLevel="1">
      <c r="A108" s="60" t="s">
        <v>715</v>
      </c>
      <c r="B108" s="60"/>
      <c r="C108" s="112">
        <v>1.0</v>
      </c>
      <c r="D108" s="103" t="str">
        <f>IFERROR(__xludf.DUMMYFUNCTION("SPARKLINE(C108,{""charttype"",""bar"";""max"",1})"),"")</f>
        <v/>
      </c>
      <c r="E108" s="111">
        <f t="shared" si="20"/>
        <v>45481</v>
      </c>
      <c r="F108" s="42">
        <v>0.0</v>
      </c>
      <c r="G108" s="111">
        <f t="shared" si="19"/>
        <v>45481</v>
      </c>
      <c r="H108" s="60"/>
      <c r="I108" s="60"/>
    </row>
    <row r="109" ht="15.75" hidden="1" customHeight="1" outlineLevel="1">
      <c r="A109" s="60" t="s">
        <v>716</v>
      </c>
      <c r="B109" s="60"/>
      <c r="C109" s="112">
        <v>1.0</v>
      </c>
      <c r="D109" s="103" t="str">
        <f>IFERROR(__xludf.DUMMYFUNCTION("SPARKLINE(C109,{""charttype"",""bar"";""max"",1})"),"")</f>
        <v/>
      </c>
      <c r="E109" s="111">
        <f t="shared" si="20"/>
        <v>45482</v>
      </c>
      <c r="F109" s="42">
        <v>1.0</v>
      </c>
      <c r="G109" s="111">
        <f t="shared" si="19"/>
        <v>45482</v>
      </c>
      <c r="H109" s="60"/>
      <c r="I109" s="60"/>
    </row>
    <row r="110" ht="15.75" hidden="1" customHeight="1" outlineLevel="1">
      <c r="A110" s="60" t="s">
        <v>113</v>
      </c>
      <c r="B110" s="60"/>
      <c r="C110" s="112">
        <v>1.0</v>
      </c>
      <c r="D110" s="103" t="str">
        <f>IFERROR(__xludf.DUMMYFUNCTION("SPARKLINE(C110,{""charttype"",""bar"";""max"",1})"),"")</f>
        <v/>
      </c>
      <c r="E110" s="111">
        <f t="shared" si="20"/>
        <v>45483</v>
      </c>
      <c r="F110" s="42">
        <v>1.0</v>
      </c>
      <c r="G110" s="111">
        <f t="shared" si="19"/>
        <v>45483</v>
      </c>
      <c r="H110" s="60"/>
      <c r="I110" s="60"/>
    </row>
    <row r="111" ht="15.75" hidden="1" customHeight="1" outlineLevel="1">
      <c r="A111" s="60" t="s">
        <v>126</v>
      </c>
      <c r="B111" s="97" t="s">
        <v>713</v>
      </c>
      <c r="C111" s="112">
        <v>1.0</v>
      </c>
      <c r="D111" s="103" t="str">
        <f>IFERROR(__xludf.DUMMYFUNCTION("SPARKLINE(C111,{""charttype"",""bar"";""max"",1})"),"")</f>
        <v/>
      </c>
      <c r="E111" s="111">
        <f t="shared" si="20"/>
        <v>45484</v>
      </c>
      <c r="F111" s="42">
        <v>1.0</v>
      </c>
      <c r="G111" s="111">
        <f t="shared" si="19"/>
        <v>45484</v>
      </c>
      <c r="H111" s="60"/>
      <c r="I111" s="60"/>
    </row>
    <row r="112" ht="15.75" customHeight="1" collapsed="1">
      <c r="A112" s="94" t="s">
        <v>717</v>
      </c>
      <c r="B112" s="60"/>
      <c r="C112" s="107">
        <f>Average(C113:C120)</f>
        <v>0.69375</v>
      </c>
      <c r="D112" s="103" t="str">
        <f>IFERROR(__xludf.DUMMYFUNCTION("SPARKLINE(C112,{""charttype"",""bar"";""max"",1})"),"")</f>
        <v/>
      </c>
      <c r="E112" s="108">
        <f>min(E113:E120)</f>
        <v>45446</v>
      </c>
      <c r="F112" s="109">
        <f>G112-E112</f>
        <v>25</v>
      </c>
      <c r="G112" s="108">
        <f>MAX(G113:G120)</f>
        <v>45471</v>
      </c>
      <c r="H112" s="94">
        <f>sum(H113:H120)</f>
        <v>0</v>
      </c>
      <c r="I112" s="60"/>
    </row>
    <row r="113" ht="15.75" hidden="1" customHeight="1" outlineLevel="1">
      <c r="A113" s="60" t="s">
        <v>718</v>
      </c>
      <c r="B113" s="60"/>
      <c r="C113" s="112">
        <v>1.0</v>
      </c>
      <c r="D113" s="103" t="str">
        <f>IFERROR(__xludf.DUMMYFUNCTION("SPARKLINE(C113,{""charttype"",""bar"";""max"",1})"),"")</f>
        <v/>
      </c>
      <c r="E113" s="111">
        <f>G83</f>
        <v>45446</v>
      </c>
      <c r="F113" s="42">
        <v>1.0</v>
      </c>
      <c r="G113" s="111">
        <f t="shared" ref="G113:G120" si="21">if(F113=1,E113,WORKDAY(E113,(F113)))</f>
        <v>45446</v>
      </c>
      <c r="H113" s="60"/>
      <c r="I113" s="60"/>
    </row>
    <row r="114" ht="15.75" hidden="1" customHeight="1" outlineLevel="1">
      <c r="A114" s="60" t="s">
        <v>619</v>
      </c>
      <c r="B114" s="60"/>
      <c r="C114" s="112">
        <v>1.0</v>
      </c>
      <c r="D114" s="103" t="str">
        <f>IFERROR(__xludf.DUMMYFUNCTION("SPARKLINE(C114,{""charttype"",""bar"";""max"",1})"),"")</f>
        <v/>
      </c>
      <c r="E114" s="111">
        <f t="shared" ref="E114:E120" si="22">if(F114=0,E113,workday(G113,1+H114))</f>
        <v>45447</v>
      </c>
      <c r="F114" s="42">
        <v>2.0</v>
      </c>
      <c r="G114" s="111">
        <f t="shared" si="21"/>
        <v>45449</v>
      </c>
      <c r="H114" s="60"/>
      <c r="I114" s="60"/>
    </row>
    <row r="115" ht="15.75" hidden="1" customHeight="1" outlineLevel="1">
      <c r="A115" s="60" t="s">
        <v>719</v>
      </c>
      <c r="B115" s="60"/>
      <c r="C115" s="112">
        <v>1.0</v>
      </c>
      <c r="D115" s="103" t="str">
        <f>IFERROR(__xludf.DUMMYFUNCTION("SPARKLINE(C115,{""charttype"",""bar"";""max"",1})"),"")</f>
        <v/>
      </c>
      <c r="E115" s="111">
        <f t="shared" si="22"/>
        <v>45450</v>
      </c>
      <c r="F115" s="42">
        <v>1.0</v>
      </c>
      <c r="G115" s="111">
        <f t="shared" si="21"/>
        <v>45450</v>
      </c>
      <c r="H115" s="60"/>
      <c r="I115" s="60"/>
    </row>
    <row r="116" ht="15.75" hidden="1" customHeight="1" outlineLevel="1">
      <c r="A116" s="60" t="s">
        <v>720</v>
      </c>
      <c r="B116" s="60"/>
      <c r="C116" s="112">
        <v>1.0</v>
      </c>
      <c r="D116" s="103" t="str">
        <f>IFERROR(__xludf.DUMMYFUNCTION("SPARKLINE(C116,{""charttype"",""bar"";""max"",1})"),"")</f>
        <v/>
      </c>
      <c r="E116" s="111">
        <f t="shared" si="22"/>
        <v>45453</v>
      </c>
      <c r="F116" s="42">
        <v>5.0</v>
      </c>
      <c r="G116" s="111">
        <f t="shared" si="21"/>
        <v>45460</v>
      </c>
      <c r="H116" s="60"/>
      <c r="I116" s="60"/>
    </row>
    <row r="117" ht="15.75" hidden="1" customHeight="1" outlineLevel="1">
      <c r="A117" s="60" t="s">
        <v>721</v>
      </c>
      <c r="B117" s="60"/>
      <c r="C117" s="112">
        <v>0.55</v>
      </c>
      <c r="D117" s="103" t="str">
        <f>IFERROR(__xludf.DUMMYFUNCTION("SPARKLINE(C117,{""charttype"",""bar"";""max"",1})"),"")</f>
        <v/>
      </c>
      <c r="E117" s="111">
        <f t="shared" si="22"/>
        <v>45461</v>
      </c>
      <c r="F117" s="42">
        <v>5.0</v>
      </c>
      <c r="G117" s="111">
        <f t="shared" si="21"/>
        <v>45468</v>
      </c>
      <c r="H117" s="60"/>
      <c r="I117" s="60"/>
    </row>
    <row r="118" ht="15.75" hidden="1" customHeight="1" outlineLevel="1">
      <c r="A118" s="60" t="s">
        <v>722</v>
      </c>
      <c r="B118" s="60"/>
      <c r="C118" s="112">
        <v>0.0</v>
      </c>
      <c r="D118" s="103" t="str">
        <f>IFERROR(__xludf.DUMMYFUNCTION("SPARKLINE(C118,{""charttype"",""bar"";""max"",1})"),"")</f>
        <v/>
      </c>
      <c r="E118" s="111">
        <f t="shared" si="22"/>
        <v>45469</v>
      </c>
      <c r="F118" s="42">
        <v>1.0</v>
      </c>
      <c r="G118" s="111">
        <f t="shared" si="21"/>
        <v>45469</v>
      </c>
      <c r="H118" s="60"/>
      <c r="I118" s="60"/>
    </row>
    <row r="119" ht="15.75" hidden="1" customHeight="1" outlineLevel="1">
      <c r="A119" s="60" t="s">
        <v>723</v>
      </c>
      <c r="B119" s="60"/>
      <c r="C119" s="112">
        <v>0.0</v>
      </c>
      <c r="D119" s="103" t="str">
        <f>IFERROR(__xludf.DUMMYFUNCTION("SPARKLINE(C119,{""charttype"",""bar"";""max"",1})"),"")</f>
        <v/>
      </c>
      <c r="E119" s="111">
        <f t="shared" si="22"/>
        <v>45470</v>
      </c>
      <c r="F119" s="42">
        <v>1.0</v>
      </c>
      <c r="G119" s="111">
        <f t="shared" si="21"/>
        <v>45470</v>
      </c>
      <c r="H119" s="60"/>
      <c r="I119" s="60"/>
    </row>
    <row r="120" ht="15.75" hidden="1" customHeight="1" outlineLevel="1">
      <c r="A120" s="60" t="s">
        <v>724</v>
      </c>
      <c r="B120" s="60"/>
      <c r="C120" s="112">
        <v>1.0</v>
      </c>
      <c r="D120" s="103" t="str">
        <f>IFERROR(__xludf.DUMMYFUNCTION("SPARKLINE(C120,{""charttype"",""bar"";""max"",1})"),"")</f>
        <v/>
      </c>
      <c r="E120" s="111">
        <f t="shared" si="22"/>
        <v>45471</v>
      </c>
      <c r="F120" s="42">
        <v>1.0</v>
      </c>
      <c r="G120" s="111">
        <f t="shared" si="21"/>
        <v>45471</v>
      </c>
      <c r="H120" s="60"/>
      <c r="I120" s="60"/>
    </row>
    <row r="121" ht="15.75" customHeight="1" collapsed="1">
      <c r="A121" s="94" t="s">
        <v>725</v>
      </c>
      <c r="B121" s="60"/>
      <c r="C121" s="107">
        <f>Average(C122:C136)</f>
        <v>0.654</v>
      </c>
      <c r="D121" s="103" t="str">
        <f>IFERROR(__xludf.DUMMYFUNCTION("SPARKLINE(C121,{""charttype"",""bar"";""max"",1})"),"")</f>
        <v/>
      </c>
      <c r="E121" s="108">
        <f>min(E122:E136)</f>
        <v>45483</v>
      </c>
      <c r="F121" s="109">
        <f>G121-E121</f>
        <v>44</v>
      </c>
      <c r="G121" s="108">
        <f>MAX(G122:G136)</f>
        <v>45527</v>
      </c>
      <c r="H121" s="94">
        <f>sum(H122:H136)</f>
        <v>8</v>
      </c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hidden="1" customHeight="1" outlineLevel="1">
      <c r="A122" s="60" t="s">
        <v>726</v>
      </c>
      <c r="B122" s="60"/>
      <c r="C122" s="112">
        <v>1.0</v>
      </c>
      <c r="D122" s="103" t="str">
        <f>IFERROR(__xludf.DUMMYFUNCTION("SPARKLINE(C122,{""charttype"",""bar"";""max"",1})"),"")</f>
        <v/>
      </c>
      <c r="E122" s="111">
        <f>Workday(G109,1)</f>
        <v>45483</v>
      </c>
      <c r="F122" s="42">
        <v>1.0</v>
      </c>
      <c r="G122" s="111">
        <f t="shared" ref="G122:G136" si="23">if(F122=1,E122,WORKDAY(E122,(F122)))</f>
        <v>45483</v>
      </c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hidden="1" customHeight="1" outlineLevel="1">
      <c r="A123" s="60" t="s">
        <v>727</v>
      </c>
      <c r="B123" s="97" t="s">
        <v>616</v>
      </c>
      <c r="C123" s="112">
        <v>0.85</v>
      </c>
      <c r="D123" s="103" t="str">
        <f>IFERROR(__xludf.DUMMYFUNCTION("SPARKLINE(C123,{""charttype"",""bar"";""max"",1})"),"")</f>
        <v/>
      </c>
      <c r="E123" s="111">
        <f t="shared" ref="E123:E136" si="24">if(F123=0,E122,workday(G122,1+H123))</f>
        <v>45497</v>
      </c>
      <c r="F123" s="42">
        <v>5.0</v>
      </c>
      <c r="G123" s="111">
        <f t="shared" si="23"/>
        <v>45504</v>
      </c>
      <c r="H123" s="60">
        <v>9.0</v>
      </c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hidden="1" customHeight="1" outlineLevel="1">
      <c r="A124" s="60" t="s">
        <v>728</v>
      </c>
      <c r="B124" s="60"/>
      <c r="C124" s="112">
        <v>1.0</v>
      </c>
      <c r="D124" s="103" t="str">
        <f>IFERROR(__xludf.DUMMYFUNCTION("SPARKLINE(C124,{""charttype"",""bar"";""max"",1})"),"")</f>
        <v/>
      </c>
      <c r="E124" s="111">
        <f t="shared" si="24"/>
        <v>45497</v>
      </c>
      <c r="F124" s="42">
        <v>0.0</v>
      </c>
      <c r="G124" s="111">
        <f t="shared" si="23"/>
        <v>45497</v>
      </c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hidden="1" customHeight="1" outlineLevel="1">
      <c r="A125" s="60" t="s">
        <v>729</v>
      </c>
      <c r="B125" s="97" t="s">
        <v>633</v>
      </c>
      <c r="C125" s="112">
        <v>0.95</v>
      </c>
      <c r="D125" s="103" t="str">
        <f>IFERROR(__xludf.DUMMYFUNCTION("SPARKLINE(C125,{""charttype"",""bar"";""max"",1})"),"")</f>
        <v/>
      </c>
      <c r="E125" s="111">
        <f t="shared" si="24"/>
        <v>45497</v>
      </c>
      <c r="F125" s="42">
        <v>5.0</v>
      </c>
      <c r="G125" s="111">
        <f t="shared" si="23"/>
        <v>45504</v>
      </c>
      <c r="H125" s="60">
        <v>-1.0</v>
      </c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hidden="1" customHeight="1" outlineLevel="1">
      <c r="A126" s="60" t="s">
        <v>730</v>
      </c>
      <c r="B126" s="60"/>
      <c r="C126" s="112">
        <v>1.0</v>
      </c>
      <c r="D126" s="103" t="str">
        <f>IFERROR(__xludf.DUMMYFUNCTION("SPARKLINE(C126,{""charttype"",""bar"";""max"",1})"),"")</f>
        <v/>
      </c>
      <c r="E126" s="111">
        <f t="shared" si="24"/>
        <v>45505</v>
      </c>
      <c r="F126" s="42">
        <v>1.0</v>
      </c>
      <c r="G126" s="111">
        <f t="shared" si="23"/>
        <v>45505</v>
      </c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hidden="1" customHeight="1" outlineLevel="1">
      <c r="A127" s="60" t="s">
        <v>731</v>
      </c>
      <c r="B127" s="60"/>
      <c r="C127" s="112">
        <v>1.0</v>
      </c>
      <c r="D127" s="103" t="str">
        <f>IFERROR(__xludf.DUMMYFUNCTION("SPARKLINE(C127,{""charttype"",""bar"";""max"",1})"),"")</f>
        <v/>
      </c>
      <c r="E127" s="111">
        <f t="shared" si="24"/>
        <v>45505</v>
      </c>
      <c r="F127" s="42">
        <v>0.0</v>
      </c>
      <c r="G127" s="111">
        <f t="shared" si="23"/>
        <v>45505</v>
      </c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hidden="1" customHeight="1" outlineLevel="1">
      <c r="A128" s="60" t="s">
        <v>732</v>
      </c>
      <c r="B128" s="60"/>
      <c r="C128" s="112">
        <v>1.0</v>
      </c>
      <c r="D128" s="103" t="str">
        <f>IFERROR(__xludf.DUMMYFUNCTION("SPARKLINE(C128,{""charttype"",""bar"";""max"",1})"),"")</f>
        <v/>
      </c>
      <c r="E128" s="111">
        <f t="shared" si="24"/>
        <v>45505</v>
      </c>
      <c r="F128" s="42">
        <v>0.0</v>
      </c>
      <c r="G128" s="111">
        <f t="shared" si="23"/>
        <v>45505</v>
      </c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hidden="1" customHeight="1" outlineLevel="1">
      <c r="A129" s="60" t="s">
        <v>733</v>
      </c>
      <c r="B129" s="60"/>
      <c r="C129" s="112">
        <v>0.0</v>
      </c>
      <c r="D129" s="103" t="str">
        <f>IFERROR(__xludf.DUMMYFUNCTION("SPARKLINE(C129,{""charttype"",""bar"";""max"",1})"),"")</f>
        <v/>
      </c>
      <c r="E129" s="111">
        <f t="shared" si="24"/>
        <v>45505</v>
      </c>
      <c r="F129" s="42">
        <v>0.0</v>
      </c>
      <c r="G129" s="111">
        <f t="shared" si="23"/>
        <v>45505</v>
      </c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hidden="1" customHeight="1" outlineLevel="1">
      <c r="A130" s="60" t="s">
        <v>734</v>
      </c>
      <c r="B130" s="60"/>
      <c r="C130" s="112">
        <v>1.0</v>
      </c>
      <c r="D130" s="103" t="str">
        <f>IFERROR(__xludf.DUMMYFUNCTION("SPARKLINE(C130,{""charttype"",""bar"";""max"",1})"),"")</f>
        <v/>
      </c>
      <c r="E130" s="111">
        <f t="shared" si="24"/>
        <v>45505</v>
      </c>
      <c r="F130" s="42">
        <v>0.0</v>
      </c>
      <c r="G130" s="111">
        <f t="shared" si="23"/>
        <v>45505</v>
      </c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hidden="1" customHeight="1" outlineLevel="1">
      <c r="A131" s="60" t="s">
        <v>700</v>
      </c>
      <c r="B131" s="60"/>
      <c r="C131" s="112">
        <v>1.0</v>
      </c>
      <c r="D131" s="103" t="str">
        <f>IFERROR(__xludf.DUMMYFUNCTION("SPARKLINE(C131,{""charttype"",""bar"";""max"",1})"),"")</f>
        <v/>
      </c>
      <c r="E131" s="111">
        <f t="shared" si="24"/>
        <v>45506</v>
      </c>
      <c r="F131" s="42">
        <v>1.0</v>
      </c>
      <c r="G131" s="111">
        <f t="shared" si="23"/>
        <v>45506</v>
      </c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hidden="1" customHeight="1" outlineLevel="1">
      <c r="A132" s="60" t="s">
        <v>735</v>
      </c>
      <c r="B132" s="60"/>
      <c r="C132" s="112">
        <v>0.66</v>
      </c>
      <c r="D132" s="103" t="str">
        <f>IFERROR(__xludf.DUMMYFUNCTION("SPARKLINE(C132,{""charttype"",""bar"";""max"",1})"),"")</f>
        <v/>
      </c>
      <c r="E132" s="111">
        <f t="shared" si="24"/>
        <v>45509</v>
      </c>
      <c r="F132" s="42">
        <v>1.0</v>
      </c>
      <c r="G132" s="111">
        <f t="shared" si="23"/>
        <v>45509</v>
      </c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hidden="1" customHeight="1" outlineLevel="1">
      <c r="A133" s="60" t="s">
        <v>130</v>
      </c>
      <c r="B133" s="60"/>
      <c r="C133" s="112">
        <v>0.35</v>
      </c>
      <c r="D133" s="103" t="str">
        <f>IFERROR(__xludf.DUMMYFUNCTION("SPARKLINE(C133,{""charttype"",""bar"";""max"",1})"),"")</f>
        <v/>
      </c>
      <c r="E133" s="111">
        <f t="shared" si="24"/>
        <v>45510</v>
      </c>
      <c r="F133" s="42">
        <v>1.0</v>
      </c>
      <c r="G133" s="111">
        <f t="shared" si="23"/>
        <v>45510</v>
      </c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hidden="1" customHeight="1" outlineLevel="1">
      <c r="A134" s="60" t="s">
        <v>736</v>
      </c>
      <c r="B134" s="60"/>
      <c r="C134" s="112">
        <v>0.0</v>
      </c>
      <c r="D134" s="103" t="str">
        <f>IFERROR(__xludf.DUMMYFUNCTION("SPARKLINE(C134,{""charttype"",""bar"";""max"",1})"),"")</f>
        <v/>
      </c>
      <c r="E134" s="111">
        <f t="shared" si="24"/>
        <v>45511</v>
      </c>
      <c r="F134" s="42">
        <v>1.0</v>
      </c>
      <c r="G134" s="111">
        <f t="shared" si="23"/>
        <v>45511</v>
      </c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hidden="1" customHeight="1" outlineLevel="1">
      <c r="A135" s="60" t="s">
        <v>737</v>
      </c>
      <c r="B135" s="60"/>
      <c r="C135" s="112">
        <v>0.0</v>
      </c>
      <c r="D135" s="103" t="str">
        <f>IFERROR(__xludf.DUMMYFUNCTION("SPARKLINE(C135,{""charttype"",""bar"";""max"",1})"),"")</f>
        <v/>
      </c>
      <c r="E135" s="111">
        <f t="shared" si="24"/>
        <v>45512</v>
      </c>
      <c r="F135" s="42">
        <v>1.0</v>
      </c>
      <c r="G135" s="111">
        <f t="shared" si="23"/>
        <v>45512</v>
      </c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hidden="1" customHeight="1" outlineLevel="1">
      <c r="A136" s="60" t="s">
        <v>738</v>
      </c>
      <c r="B136" s="60"/>
      <c r="C136" s="112">
        <v>0.0</v>
      </c>
      <c r="D136" s="103" t="str">
        <f>IFERROR(__xludf.DUMMYFUNCTION("SPARKLINE(C136,{""charttype"",""bar"";""max"",1})"),"")</f>
        <v/>
      </c>
      <c r="E136" s="111">
        <f t="shared" si="24"/>
        <v>45513</v>
      </c>
      <c r="F136" s="42">
        <v>10.0</v>
      </c>
      <c r="G136" s="111">
        <f t="shared" si="23"/>
        <v>45527</v>
      </c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>
      <c r="A137" s="3"/>
      <c r="E137" s="99"/>
      <c r="G137" s="99"/>
    </row>
    <row r="138" ht="15.75" customHeight="1">
      <c r="A138" s="1"/>
      <c r="B138" s="40"/>
      <c r="C138" s="1"/>
      <c r="D138" s="1"/>
      <c r="E138" s="1"/>
      <c r="F138" s="1"/>
      <c r="G138" s="113"/>
      <c r="H138" s="1"/>
      <c r="I138" s="1"/>
      <c r="J138" s="1"/>
      <c r="K138" s="1"/>
      <c r="L138" s="1"/>
      <c r="M138" s="1"/>
    </row>
    <row r="139" ht="15.75" customHeight="1">
      <c r="A139" s="40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40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40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40"/>
      <c r="J142" s="1"/>
      <c r="K142" s="1"/>
      <c r="L142" s="1"/>
      <c r="M142" s="1"/>
    </row>
    <row r="143" ht="15.75" customHeight="1">
      <c r="A143" s="1"/>
      <c r="B143" s="1"/>
      <c r="C143" s="40"/>
      <c r="D143" s="1"/>
      <c r="E143" s="1"/>
      <c r="F143" s="1"/>
      <c r="G143" s="1"/>
      <c r="H143" s="1"/>
      <c r="I143" s="40"/>
      <c r="J143" s="1"/>
      <c r="K143" s="1"/>
      <c r="L143" s="1"/>
      <c r="M143" s="1"/>
    </row>
    <row r="144" ht="15.75" customHeight="1">
      <c r="A144" s="40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40"/>
      <c r="B145" s="114"/>
      <c r="C145" s="40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15"/>
      <c r="C146" s="40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40"/>
      <c r="B147" s="114"/>
      <c r="C147" s="40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15"/>
      <c r="C148" s="40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16"/>
      <c r="C149" s="40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14"/>
      <c r="C150" s="40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14"/>
      <c r="C151" s="40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15"/>
      <c r="C152" s="40"/>
      <c r="D152" s="1"/>
      <c r="E152" s="1"/>
      <c r="F152" s="1"/>
      <c r="G152" s="113"/>
      <c r="H152" s="1"/>
      <c r="I152" s="1"/>
      <c r="J152" s="1"/>
      <c r="K152" s="1"/>
      <c r="L152" s="1"/>
      <c r="M152" s="1"/>
    </row>
    <row r="153" ht="15.75" customHeight="1">
      <c r="A153" s="1"/>
      <c r="B153" s="114"/>
      <c r="C153" s="40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14"/>
      <c r="C154" s="40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14"/>
      <c r="C155" s="40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13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13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13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13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13"/>
      <c r="F162" s="1"/>
      <c r="G162" s="113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13"/>
      <c r="F163" s="1"/>
      <c r="G163" s="113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13"/>
      <c r="F164" s="1"/>
      <c r="G164" s="113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13"/>
      <c r="F165" s="1"/>
      <c r="G165" s="113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13"/>
      <c r="F166" s="1"/>
      <c r="G166" s="113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13"/>
      <c r="F167" s="1"/>
      <c r="G167" s="113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13"/>
      <c r="F168" s="1"/>
      <c r="G168" s="113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13"/>
      <c r="F169" s="1"/>
      <c r="G169" s="113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13"/>
      <c r="F170" s="1"/>
      <c r="G170" s="113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13"/>
      <c r="F171" s="1"/>
      <c r="G171" s="113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13"/>
      <c r="F172" s="1"/>
      <c r="G172" s="113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13"/>
      <c r="F173" s="1"/>
      <c r="G173" s="113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13"/>
      <c r="F174" s="1"/>
      <c r="G174" s="113"/>
      <c r="H174" s="1"/>
      <c r="I174" s="1"/>
      <c r="J174" s="1"/>
      <c r="K174" s="1"/>
      <c r="L174" s="1"/>
      <c r="M174" s="1"/>
    </row>
    <row r="175" ht="15.75" customHeight="1">
      <c r="E175" s="99"/>
      <c r="G175" s="99"/>
    </row>
    <row r="176" ht="15.75" customHeight="1">
      <c r="E176" s="99"/>
      <c r="G176" s="99"/>
    </row>
    <row r="177" ht="15.75" customHeight="1">
      <c r="E177" s="99"/>
      <c r="G177" s="99"/>
    </row>
    <row r="178" ht="15.75" customHeight="1">
      <c r="E178" s="99"/>
      <c r="G178" s="99"/>
    </row>
    <row r="179" ht="15.75" customHeight="1">
      <c r="E179" s="99"/>
      <c r="G179" s="99"/>
    </row>
    <row r="180" ht="15.75" customHeight="1">
      <c r="E180" s="99"/>
      <c r="G180" s="99"/>
    </row>
    <row r="181" ht="15.75" customHeight="1">
      <c r="E181" s="99"/>
      <c r="G181" s="99"/>
    </row>
    <row r="182" ht="15.75" customHeight="1">
      <c r="E182" s="99"/>
      <c r="G182" s="99"/>
    </row>
    <row r="183" ht="15.75" customHeight="1">
      <c r="E183" s="99"/>
      <c r="G183" s="99"/>
    </row>
    <row r="184" ht="15.75" customHeight="1">
      <c r="E184" s="99"/>
      <c r="G184" s="99"/>
    </row>
    <row r="185" ht="15.75" customHeight="1">
      <c r="E185" s="99"/>
      <c r="G185" s="99"/>
    </row>
    <row r="186" ht="15.75" customHeight="1">
      <c r="E186" s="99"/>
      <c r="G186" s="99"/>
    </row>
    <row r="187" ht="15.75" customHeight="1">
      <c r="E187" s="99"/>
      <c r="G187" s="99"/>
    </row>
    <row r="188" ht="15.75" customHeight="1">
      <c r="E188" s="99"/>
      <c r="G188" s="99"/>
    </row>
    <row r="189" ht="15.75" customHeight="1">
      <c r="E189" s="99"/>
      <c r="G189" s="99"/>
    </row>
    <row r="190" ht="15.75" customHeight="1">
      <c r="E190" s="99"/>
      <c r="G190" s="99"/>
    </row>
    <row r="191" ht="15.75" customHeight="1">
      <c r="E191" s="99"/>
      <c r="G191" s="99"/>
    </row>
    <row r="192" ht="15.75" customHeight="1">
      <c r="E192" s="99"/>
      <c r="G192" s="99"/>
    </row>
    <row r="193" ht="15.75" customHeight="1">
      <c r="E193" s="99"/>
      <c r="G193" s="99"/>
    </row>
    <row r="194" ht="15.75" customHeight="1">
      <c r="E194" s="99"/>
      <c r="G194" s="99"/>
    </row>
    <row r="195" ht="15.75" customHeight="1">
      <c r="E195" s="99"/>
      <c r="G195" s="99"/>
    </row>
    <row r="196" ht="15.75" customHeight="1">
      <c r="E196" s="99"/>
      <c r="G196" s="99"/>
    </row>
    <row r="197" ht="15.75" customHeight="1">
      <c r="E197" s="99"/>
      <c r="G197" s="99"/>
    </row>
    <row r="198" ht="15.75" customHeight="1">
      <c r="E198" s="99"/>
      <c r="G198" s="99"/>
    </row>
    <row r="199" ht="15.75" customHeight="1">
      <c r="E199" s="99"/>
      <c r="G199" s="99"/>
    </row>
    <row r="200" ht="15.75" customHeight="1">
      <c r="E200" s="99"/>
      <c r="G200" s="99"/>
    </row>
    <row r="201" ht="15.75" customHeight="1">
      <c r="E201" s="99"/>
      <c r="G201" s="99"/>
    </row>
    <row r="202" ht="15.75" customHeight="1">
      <c r="E202" s="99"/>
      <c r="G202" s="99"/>
    </row>
    <row r="203" ht="15.75" customHeight="1">
      <c r="E203" s="99"/>
      <c r="G203" s="99"/>
    </row>
    <row r="204" ht="15.75" customHeight="1">
      <c r="E204" s="99"/>
      <c r="G204" s="99"/>
    </row>
    <row r="205" ht="15.75" customHeight="1">
      <c r="E205" s="99"/>
      <c r="G205" s="99"/>
    </row>
    <row r="206" ht="15.75" customHeight="1">
      <c r="E206" s="99"/>
      <c r="G206" s="99"/>
    </row>
    <row r="207" ht="15.75" customHeight="1">
      <c r="E207" s="99"/>
      <c r="G207" s="99"/>
    </row>
    <row r="208" ht="15.75" customHeight="1">
      <c r="E208" s="99"/>
      <c r="G208" s="99"/>
    </row>
    <row r="209" ht="15.75" customHeight="1">
      <c r="E209" s="99"/>
      <c r="G209" s="99"/>
    </row>
    <row r="210" ht="15.75" customHeight="1">
      <c r="E210" s="99"/>
      <c r="G210" s="99"/>
    </row>
    <row r="211" ht="15.75" customHeight="1">
      <c r="E211" s="99"/>
      <c r="G211" s="99"/>
    </row>
    <row r="212" ht="15.75" customHeight="1">
      <c r="E212" s="99"/>
      <c r="G212" s="99"/>
    </row>
    <row r="213" ht="15.75" customHeight="1">
      <c r="E213" s="99"/>
      <c r="G213" s="99"/>
    </row>
    <row r="214" ht="15.75" customHeight="1">
      <c r="E214" s="99"/>
      <c r="G214" s="99"/>
    </row>
    <row r="215" ht="15.75" customHeight="1">
      <c r="E215" s="99"/>
      <c r="G215" s="99"/>
    </row>
    <row r="216" ht="15.75" customHeight="1">
      <c r="E216" s="99"/>
      <c r="G216" s="99"/>
    </row>
    <row r="217" ht="15.75" customHeight="1">
      <c r="E217" s="99"/>
      <c r="G217" s="99"/>
    </row>
    <row r="218" ht="15.75" customHeight="1">
      <c r="E218" s="99"/>
      <c r="G218" s="99"/>
    </row>
    <row r="219" ht="15.75" customHeight="1">
      <c r="E219" s="99"/>
      <c r="G219" s="99"/>
    </row>
    <row r="220" ht="15.75" customHeight="1">
      <c r="E220" s="99"/>
      <c r="G220" s="99"/>
    </row>
    <row r="221" ht="15.75" customHeight="1">
      <c r="E221" s="99"/>
      <c r="G221" s="99"/>
    </row>
    <row r="222" ht="15.75" customHeight="1">
      <c r="E222" s="99"/>
      <c r="G222" s="99"/>
    </row>
    <row r="223" ht="15.75" customHeight="1">
      <c r="E223" s="99"/>
      <c r="G223" s="99"/>
    </row>
    <row r="224" ht="15.75" customHeight="1">
      <c r="E224" s="99"/>
      <c r="G224" s="99"/>
    </row>
    <row r="225" ht="15.75" customHeight="1">
      <c r="E225" s="99"/>
      <c r="G225" s="99"/>
    </row>
    <row r="226" ht="15.75" customHeight="1">
      <c r="E226" s="99"/>
      <c r="G226" s="99"/>
    </row>
    <row r="227" ht="15.75" customHeight="1">
      <c r="E227" s="99"/>
      <c r="G227" s="99"/>
    </row>
    <row r="228" ht="15.75" customHeight="1">
      <c r="E228" s="99"/>
      <c r="G228" s="99"/>
    </row>
    <row r="229" ht="15.75" customHeight="1">
      <c r="E229" s="99"/>
      <c r="G229" s="99"/>
    </row>
    <row r="230" ht="15.75" customHeight="1">
      <c r="E230" s="99"/>
      <c r="G230" s="99"/>
    </row>
    <row r="231" ht="15.75" customHeight="1">
      <c r="E231" s="99"/>
      <c r="G231" s="99"/>
    </row>
    <row r="232" ht="15.75" customHeight="1">
      <c r="E232" s="99"/>
      <c r="G232" s="99"/>
    </row>
    <row r="233" ht="15.75" customHeight="1">
      <c r="E233" s="99"/>
      <c r="G233" s="99"/>
    </row>
    <row r="234" ht="15.75" customHeight="1">
      <c r="E234" s="99"/>
      <c r="G234" s="99"/>
    </row>
    <row r="235" ht="15.75" customHeight="1">
      <c r="E235" s="99"/>
      <c r="G235" s="99"/>
    </row>
    <row r="236" ht="15.75" customHeight="1">
      <c r="E236" s="99"/>
      <c r="G236" s="99"/>
    </row>
    <row r="237" ht="15.75" customHeight="1">
      <c r="E237" s="99"/>
      <c r="G237" s="99"/>
    </row>
    <row r="238" ht="15.75" customHeight="1">
      <c r="E238" s="99"/>
      <c r="G238" s="99"/>
    </row>
    <row r="239" ht="15.75" customHeight="1">
      <c r="E239" s="99"/>
      <c r="G239" s="99"/>
    </row>
    <row r="240" ht="15.75" customHeight="1">
      <c r="E240" s="99"/>
      <c r="G240" s="99"/>
    </row>
    <row r="241" ht="15.75" customHeight="1">
      <c r="E241" s="99"/>
      <c r="G241" s="99"/>
    </row>
    <row r="242" ht="15.75" customHeight="1">
      <c r="E242" s="99"/>
      <c r="G242" s="99"/>
    </row>
    <row r="243" ht="15.75" customHeight="1">
      <c r="E243" s="99"/>
      <c r="G243" s="99"/>
    </row>
    <row r="244" ht="15.75" customHeight="1">
      <c r="E244" s="99"/>
      <c r="G244" s="99"/>
    </row>
    <row r="245" ht="15.75" customHeight="1">
      <c r="E245" s="99"/>
      <c r="G245" s="99"/>
    </row>
    <row r="246" ht="15.75" customHeight="1">
      <c r="E246" s="99"/>
      <c r="G246" s="99"/>
    </row>
    <row r="247" ht="15.75" customHeight="1">
      <c r="E247" s="99"/>
      <c r="G247" s="99"/>
    </row>
    <row r="248" ht="15.75" customHeight="1">
      <c r="E248" s="99"/>
      <c r="G248" s="99"/>
    </row>
    <row r="249" ht="15.75" customHeight="1">
      <c r="E249" s="99"/>
      <c r="G249" s="99"/>
    </row>
    <row r="250" ht="15.75" customHeight="1">
      <c r="E250" s="99"/>
      <c r="G250" s="99"/>
    </row>
    <row r="251" ht="15.75" customHeight="1">
      <c r="E251" s="99"/>
      <c r="G251" s="99"/>
    </row>
    <row r="252" ht="15.75" customHeight="1">
      <c r="E252" s="99"/>
      <c r="G252" s="99"/>
    </row>
    <row r="253" ht="15.75" customHeight="1">
      <c r="E253" s="99"/>
      <c r="G253" s="99"/>
    </row>
    <row r="254" ht="15.75" customHeight="1">
      <c r="E254" s="99"/>
      <c r="G254" s="99"/>
    </row>
    <row r="255" ht="15.75" customHeight="1">
      <c r="E255" s="99"/>
      <c r="G255" s="99"/>
    </row>
    <row r="256" ht="15.75" customHeight="1">
      <c r="E256" s="99"/>
      <c r="G256" s="99"/>
    </row>
    <row r="257" ht="15.75" customHeight="1">
      <c r="E257" s="99"/>
      <c r="G257" s="99"/>
    </row>
    <row r="258" ht="15.75" customHeight="1">
      <c r="E258" s="99"/>
      <c r="G258" s="99"/>
    </row>
    <row r="259" ht="15.75" customHeight="1">
      <c r="E259" s="99"/>
      <c r="G259" s="99"/>
    </row>
    <row r="260" ht="15.75" customHeight="1">
      <c r="E260" s="99"/>
      <c r="G260" s="99"/>
    </row>
    <row r="261" ht="15.75" customHeight="1">
      <c r="E261" s="99"/>
      <c r="G261" s="99"/>
    </row>
    <row r="262" ht="15.75" customHeight="1">
      <c r="E262" s="99"/>
      <c r="G262" s="99"/>
    </row>
    <row r="263" ht="15.75" customHeight="1">
      <c r="E263" s="99"/>
      <c r="G263" s="99"/>
    </row>
    <row r="264" ht="15.75" customHeight="1">
      <c r="E264" s="99"/>
      <c r="G264" s="99"/>
    </row>
    <row r="265" ht="15.75" customHeight="1">
      <c r="E265" s="99"/>
      <c r="G265" s="99"/>
    </row>
    <row r="266" ht="15.75" customHeight="1">
      <c r="E266" s="99"/>
      <c r="G266" s="99"/>
    </row>
    <row r="267" ht="15.75" customHeight="1">
      <c r="E267" s="99"/>
      <c r="G267" s="99"/>
    </row>
    <row r="268" ht="15.75" customHeight="1">
      <c r="E268" s="99"/>
      <c r="G268" s="99"/>
    </row>
    <row r="269" ht="15.75" customHeight="1">
      <c r="E269" s="99"/>
      <c r="G269" s="99"/>
    </row>
    <row r="270" ht="15.75" customHeight="1">
      <c r="E270" s="99"/>
      <c r="G270" s="99"/>
    </row>
    <row r="271" ht="15.75" customHeight="1">
      <c r="E271" s="99"/>
      <c r="G271" s="99"/>
    </row>
    <row r="272" ht="15.75" customHeight="1">
      <c r="E272" s="99"/>
      <c r="G272" s="99"/>
    </row>
    <row r="273" ht="15.75" customHeight="1">
      <c r="E273" s="99"/>
      <c r="G273" s="99"/>
    </row>
    <row r="274" ht="15.75" customHeight="1">
      <c r="E274" s="99"/>
      <c r="G274" s="99"/>
    </row>
    <row r="275" ht="15.75" customHeight="1">
      <c r="E275" s="99"/>
      <c r="G275" s="99"/>
    </row>
    <row r="276" ht="15.75" customHeight="1">
      <c r="E276" s="99"/>
      <c r="G276" s="99"/>
    </row>
    <row r="277" ht="15.75" customHeight="1">
      <c r="E277" s="99"/>
      <c r="G277" s="99"/>
    </row>
    <row r="278" ht="15.75" customHeight="1">
      <c r="E278" s="99"/>
      <c r="G278" s="99"/>
    </row>
    <row r="279" ht="15.75" customHeight="1">
      <c r="E279" s="99"/>
      <c r="G279" s="99"/>
    </row>
    <row r="280" ht="15.75" customHeight="1">
      <c r="E280" s="99"/>
      <c r="G280" s="99"/>
    </row>
    <row r="281" ht="15.75" customHeight="1">
      <c r="E281" s="99"/>
      <c r="G281" s="99"/>
    </row>
    <row r="282" ht="15.75" customHeight="1">
      <c r="E282" s="99"/>
      <c r="G282" s="99"/>
    </row>
    <row r="283" ht="15.75" customHeight="1">
      <c r="E283" s="99"/>
      <c r="G283" s="99"/>
    </row>
    <row r="284" ht="15.75" customHeight="1">
      <c r="E284" s="99"/>
      <c r="G284" s="99"/>
    </row>
    <row r="285" ht="15.75" customHeight="1">
      <c r="E285" s="99"/>
      <c r="G285" s="99"/>
    </row>
    <row r="286" ht="15.75" customHeight="1">
      <c r="E286" s="99"/>
      <c r="G286" s="99"/>
    </row>
    <row r="287" ht="15.75" customHeight="1">
      <c r="E287" s="99"/>
      <c r="G287" s="99"/>
    </row>
    <row r="288" ht="15.75" customHeight="1">
      <c r="E288" s="99"/>
      <c r="G288" s="99"/>
    </row>
    <row r="289" ht="15.75" customHeight="1">
      <c r="E289" s="99"/>
      <c r="G289" s="99"/>
    </row>
    <row r="290" ht="15.75" customHeight="1">
      <c r="E290" s="99"/>
      <c r="G290" s="99"/>
    </row>
    <row r="291" ht="15.75" customHeight="1">
      <c r="E291" s="99"/>
      <c r="G291" s="99"/>
    </row>
    <row r="292" ht="15.75" customHeight="1">
      <c r="E292" s="99"/>
      <c r="G292" s="99"/>
    </row>
    <row r="293" ht="15.75" customHeight="1">
      <c r="E293" s="99"/>
      <c r="G293" s="99"/>
    </row>
    <row r="294" ht="15.75" customHeight="1">
      <c r="E294" s="99"/>
      <c r="G294" s="99"/>
    </row>
    <row r="295" ht="15.75" customHeight="1">
      <c r="E295" s="99"/>
      <c r="G295" s="99"/>
    </row>
    <row r="296" ht="15.75" customHeight="1">
      <c r="E296" s="99"/>
      <c r="G296" s="99"/>
    </row>
    <row r="297" ht="15.75" customHeight="1">
      <c r="E297" s="99"/>
      <c r="G297" s="99"/>
    </row>
    <row r="298" ht="15.75" customHeight="1">
      <c r="E298" s="99"/>
      <c r="G298" s="99"/>
    </row>
    <row r="299" ht="15.75" customHeight="1">
      <c r="E299" s="99"/>
      <c r="G299" s="99"/>
    </row>
    <row r="300" ht="15.75" customHeight="1">
      <c r="E300" s="99"/>
      <c r="G300" s="99"/>
    </row>
    <row r="301" ht="15.75" customHeight="1">
      <c r="E301" s="99"/>
      <c r="G301" s="99"/>
    </row>
    <row r="302" ht="15.75" customHeight="1">
      <c r="E302" s="99"/>
      <c r="G302" s="99"/>
    </row>
    <row r="303" ht="15.75" customHeight="1">
      <c r="E303" s="99"/>
      <c r="G303" s="99"/>
    </row>
    <row r="304" ht="15.75" customHeight="1">
      <c r="E304" s="99"/>
      <c r="G304" s="99"/>
    </row>
    <row r="305" ht="15.75" customHeight="1">
      <c r="E305" s="99"/>
      <c r="G305" s="99"/>
    </row>
    <row r="306" ht="15.75" customHeight="1">
      <c r="E306" s="99"/>
      <c r="G306" s="99"/>
    </row>
    <row r="307" ht="15.75" customHeight="1">
      <c r="E307" s="99"/>
      <c r="G307" s="99"/>
    </row>
    <row r="308" ht="15.75" customHeight="1">
      <c r="E308" s="99"/>
      <c r="G308" s="99"/>
    </row>
    <row r="309" ht="15.75" customHeight="1">
      <c r="E309" s="99"/>
      <c r="G309" s="99"/>
    </row>
    <row r="310" ht="15.75" customHeight="1">
      <c r="E310" s="99"/>
      <c r="G310" s="99"/>
    </row>
    <row r="311" ht="15.75" customHeight="1">
      <c r="E311" s="99"/>
      <c r="G311" s="99"/>
    </row>
    <row r="312" ht="15.75" customHeight="1">
      <c r="E312" s="99"/>
      <c r="G312" s="99"/>
    </row>
    <row r="313" ht="15.75" customHeight="1">
      <c r="E313" s="99"/>
      <c r="G313" s="99"/>
    </row>
    <row r="314" ht="15.75" customHeight="1">
      <c r="E314" s="99"/>
      <c r="G314" s="99"/>
    </row>
    <row r="315" ht="15.75" customHeight="1">
      <c r="E315" s="99"/>
      <c r="G315" s="99"/>
    </row>
    <row r="316" ht="15.75" customHeight="1">
      <c r="E316" s="99"/>
      <c r="G316" s="99"/>
    </row>
    <row r="317" ht="15.75" customHeight="1">
      <c r="E317" s="99"/>
      <c r="G317" s="99"/>
    </row>
    <row r="318" ht="15.75" customHeight="1">
      <c r="E318" s="99"/>
      <c r="G318" s="99"/>
    </row>
    <row r="319" ht="15.75" customHeight="1">
      <c r="E319" s="99"/>
      <c r="G319" s="99"/>
    </row>
    <row r="320" ht="15.75" customHeight="1">
      <c r="E320" s="99"/>
      <c r="G320" s="99"/>
    </row>
    <row r="321" ht="15.75" customHeight="1">
      <c r="E321" s="99"/>
      <c r="G321" s="99"/>
    </row>
    <row r="322" ht="15.75" customHeight="1">
      <c r="E322" s="99"/>
      <c r="G322" s="99"/>
    </row>
    <row r="323" ht="15.75" customHeight="1">
      <c r="E323" s="99"/>
      <c r="G323" s="99"/>
    </row>
    <row r="324" ht="15.75" customHeight="1">
      <c r="E324" s="99"/>
      <c r="G324" s="99"/>
    </row>
    <row r="325" ht="15.75" customHeight="1">
      <c r="E325" s="99"/>
      <c r="G325" s="99"/>
    </row>
    <row r="326" ht="15.75" customHeight="1">
      <c r="E326" s="99"/>
      <c r="G326" s="99"/>
    </row>
    <row r="327" ht="15.75" customHeight="1">
      <c r="E327" s="99"/>
      <c r="G327" s="99"/>
    </row>
    <row r="328" ht="15.75" customHeight="1">
      <c r="E328" s="99"/>
      <c r="G328" s="99"/>
    </row>
    <row r="329" ht="15.75" customHeight="1">
      <c r="E329" s="99"/>
      <c r="G329" s="99"/>
    </row>
    <row r="330" ht="15.75" customHeight="1">
      <c r="E330" s="99"/>
      <c r="G330" s="99"/>
    </row>
    <row r="331" ht="15.75" customHeight="1">
      <c r="E331" s="99"/>
      <c r="G331" s="99"/>
    </row>
    <row r="332" ht="15.75" customHeight="1">
      <c r="E332" s="99"/>
      <c r="G332" s="99"/>
    </row>
    <row r="333" ht="15.75" customHeight="1">
      <c r="E333" s="99"/>
      <c r="G333" s="99"/>
    </row>
    <row r="334" ht="15.75" customHeight="1">
      <c r="E334" s="99"/>
      <c r="G334" s="99"/>
    </row>
    <row r="335" ht="15.75" customHeight="1">
      <c r="E335" s="99"/>
      <c r="G335" s="99"/>
    </row>
    <row r="336" ht="15.75" customHeight="1">
      <c r="E336" s="99"/>
      <c r="G336" s="99"/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B18"/>
    <hyperlink r:id="rId7" ref="B28"/>
    <hyperlink r:id="rId8" ref="B34"/>
    <hyperlink r:id="rId9" ref="B37"/>
    <hyperlink r:id="rId10" ref="B48"/>
    <hyperlink r:id="rId11" ref="B49"/>
    <hyperlink r:id="rId12" ref="B52"/>
    <hyperlink r:id="rId13" ref="B56"/>
    <hyperlink r:id="rId14" ref="B57"/>
    <hyperlink r:id="rId15" ref="B58"/>
    <hyperlink r:id="rId16" ref="B61"/>
    <hyperlink r:id="rId17" ref="B62"/>
    <hyperlink r:id="rId18" ref="B63"/>
    <hyperlink r:id="rId19" ref="B64"/>
    <hyperlink r:id="rId20" ref="B65"/>
    <hyperlink r:id="rId21" ref="B66"/>
    <hyperlink r:id="rId22" ref="B68"/>
    <hyperlink r:id="rId23" ref="B69"/>
    <hyperlink r:id="rId24" ref="B70"/>
    <hyperlink r:id="rId25" ref="B75"/>
    <hyperlink r:id="rId26" ref="B76"/>
    <hyperlink r:id="rId27" ref="B77"/>
    <hyperlink r:id="rId28" ref="B83"/>
    <hyperlink r:id="rId29" ref="B89"/>
    <hyperlink r:id="rId30" ref="B92"/>
    <hyperlink r:id="rId31" ref="B97"/>
    <hyperlink r:id="rId32" ref="B98"/>
    <hyperlink r:id="rId33" ref="B99"/>
    <hyperlink r:id="rId34" ref="B100"/>
    <hyperlink r:id="rId35" ref="B105"/>
    <hyperlink r:id="rId36" ref="B106"/>
    <hyperlink r:id="rId37" ref="B111"/>
    <hyperlink r:id="rId38" ref="B123"/>
    <hyperlink r:id="rId39" ref="B125"/>
  </hyperlinks>
  <drawing r:id="rId4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0.5"/>
    <col customWidth="1" min="3" max="3" width="16.25"/>
    <col customWidth="1" min="4" max="6" width="12.63"/>
  </cols>
  <sheetData>
    <row r="1" ht="15.75" customHeight="1">
      <c r="A1" s="117" t="str">
        <f>Budget1!A1</f>
        <v>Who is it Yes I meet that bunch of real cast like you know you got to watch you I this guy Got fucking indigestion from the sugar Yep Well yeah I feel like I know I've stabbed you you It's not too long that's just not fair to me Oh Whoops</v>
      </c>
      <c r="B1" s="36" t="str">
        <f>Budget1!C3</f>
        <v>Budget</v>
      </c>
      <c r="C1" s="3" t="s">
        <v>739</v>
      </c>
      <c r="E1" s="19"/>
      <c r="F1" s="19"/>
      <c r="G1" s="19"/>
      <c r="H1" s="19"/>
      <c r="I1" s="19"/>
      <c r="J1" s="118"/>
      <c r="K1" s="19"/>
      <c r="L1" s="19"/>
      <c r="M1" s="19"/>
      <c r="N1" s="19"/>
      <c r="O1" s="19"/>
      <c r="P1" s="118"/>
      <c r="Q1" s="118"/>
      <c r="R1" s="118"/>
      <c r="S1" s="118"/>
    </row>
    <row r="2" ht="15.75" customHeight="1">
      <c r="A2" s="117" t="str">
        <f>Budget1!A2</f>
        <v/>
      </c>
      <c r="B2" s="36"/>
      <c r="C2" s="17"/>
      <c r="D2" s="119" t="s">
        <v>740</v>
      </c>
      <c r="E2" s="119" t="s">
        <v>741</v>
      </c>
      <c r="F2" s="119" t="s">
        <v>742</v>
      </c>
      <c r="G2" s="119" t="s">
        <v>743</v>
      </c>
      <c r="H2" s="119" t="s">
        <v>744</v>
      </c>
      <c r="I2" s="119" t="s">
        <v>745</v>
      </c>
      <c r="J2" s="119" t="s">
        <v>746</v>
      </c>
      <c r="K2" s="119" t="s">
        <v>747</v>
      </c>
      <c r="L2" s="119" t="s">
        <v>748</v>
      </c>
      <c r="M2" s="119" t="s">
        <v>749</v>
      </c>
      <c r="N2" s="119" t="s">
        <v>750</v>
      </c>
      <c r="O2" s="119" t="s">
        <v>751</v>
      </c>
      <c r="P2" s="119" t="s">
        <v>752</v>
      </c>
      <c r="Q2" s="119" t="s">
        <v>753</v>
      </c>
      <c r="R2" s="119" t="s">
        <v>754</v>
      </c>
      <c r="S2" s="119" t="s">
        <v>755</v>
      </c>
      <c r="T2" s="119" t="s">
        <v>756</v>
      </c>
      <c r="U2" s="1"/>
    </row>
    <row r="3" ht="15.75" customHeight="1">
      <c r="A3" s="117"/>
      <c r="B3" s="120" t="s">
        <v>146</v>
      </c>
      <c r="C3" s="120" t="s">
        <v>757</v>
      </c>
      <c r="D3" s="36"/>
      <c r="E3" s="28"/>
      <c r="F3" s="121"/>
      <c r="G3" s="121"/>
      <c r="H3" s="121"/>
      <c r="I3" s="121"/>
      <c r="J3" s="121"/>
      <c r="K3" s="122"/>
      <c r="L3" s="121"/>
      <c r="M3" s="121"/>
      <c r="N3" s="121"/>
      <c r="O3" s="121"/>
      <c r="P3" s="121"/>
      <c r="Q3" s="121"/>
      <c r="R3" s="121"/>
      <c r="S3" s="121"/>
      <c r="T3" s="1"/>
      <c r="U3" s="1"/>
    </row>
    <row r="4" ht="15.75" customHeight="1">
      <c r="A4" s="117"/>
      <c r="B4" s="36">
        <f>sum(B7:B95)</f>
        <v>2775448.51</v>
      </c>
      <c r="C4" s="123">
        <f>sum(D4:T4)-B4</f>
        <v>-2774723.51</v>
      </c>
      <c r="D4" s="36">
        <f t="shared" ref="D4:T4" si="1">sum(D7:D95)</f>
        <v>725</v>
      </c>
      <c r="E4" s="36">
        <f t="shared" si="1"/>
        <v>0</v>
      </c>
      <c r="F4" s="36">
        <f t="shared" si="1"/>
        <v>0</v>
      </c>
      <c r="G4" s="36">
        <f t="shared" si="1"/>
        <v>0</v>
      </c>
      <c r="H4" s="36">
        <f t="shared" si="1"/>
        <v>0</v>
      </c>
      <c r="I4" s="36">
        <f t="shared" si="1"/>
        <v>0</v>
      </c>
      <c r="J4" s="36">
        <f t="shared" si="1"/>
        <v>0</v>
      </c>
      <c r="K4" s="36">
        <f t="shared" si="1"/>
        <v>0</v>
      </c>
      <c r="L4" s="36">
        <f t="shared" si="1"/>
        <v>0</v>
      </c>
      <c r="M4" s="36">
        <f t="shared" si="1"/>
        <v>0</v>
      </c>
      <c r="N4" s="36">
        <f t="shared" si="1"/>
        <v>0</v>
      </c>
      <c r="O4" s="36">
        <f t="shared" si="1"/>
        <v>0</v>
      </c>
      <c r="P4" s="36">
        <f t="shared" si="1"/>
        <v>0</v>
      </c>
      <c r="Q4" s="36">
        <f t="shared" si="1"/>
        <v>0</v>
      </c>
      <c r="R4" s="36">
        <f t="shared" si="1"/>
        <v>0</v>
      </c>
      <c r="S4" s="36">
        <f t="shared" si="1"/>
        <v>0</v>
      </c>
      <c r="T4" s="36">
        <f t="shared" si="1"/>
        <v>0</v>
      </c>
      <c r="U4" s="1"/>
    </row>
    <row r="5" ht="15.75" customHeight="1">
      <c r="A5" s="117" t="str">
        <f>Budget1!A5</f>
        <v/>
      </c>
      <c r="B5" s="36" t="str">
        <f>Budget1!C5</f>
        <v/>
      </c>
      <c r="C5" s="119"/>
      <c r="D5" s="119"/>
      <c r="E5" s="28"/>
      <c r="F5" s="121"/>
      <c r="G5" s="121"/>
      <c r="H5" s="121"/>
      <c r="I5" s="121"/>
      <c r="J5" s="121"/>
      <c r="K5" s="121"/>
      <c r="L5" s="121"/>
      <c r="M5" s="124"/>
      <c r="N5" s="28"/>
      <c r="O5" s="28"/>
      <c r="P5" s="125"/>
      <c r="Q5" s="124"/>
      <c r="R5" s="124"/>
      <c r="S5" s="124"/>
      <c r="T5" s="1"/>
      <c r="U5" s="1"/>
    </row>
    <row r="6" ht="15.75" customHeight="1">
      <c r="A6" s="117" t="str">
        <f>Budget1!A6</f>
        <v>Deposit</v>
      </c>
      <c r="B6" s="36" t="str">
        <f>Budget1!C6</f>
        <v/>
      </c>
      <c r="C6" s="1"/>
      <c r="D6" s="1"/>
      <c r="E6" s="28"/>
      <c r="F6" s="28"/>
      <c r="G6" s="28"/>
      <c r="H6" s="28"/>
      <c r="I6" s="28"/>
      <c r="J6" s="124"/>
      <c r="K6" s="28"/>
      <c r="L6" s="28"/>
      <c r="M6" s="28"/>
      <c r="N6" s="28"/>
      <c r="O6" s="28"/>
      <c r="P6" s="124"/>
      <c r="Q6" s="124"/>
      <c r="R6" s="124"/>
      <c r="S6" s="124"/>
      <c r="T6" s="1"/>
      <c r="U6" s="1"/>
    </row>
    <row r="7" ht="15.75" customHeight="1">
      <c r="A7" s="126" t="str">
        <f>Budget1!A7</f>
        <v>Plumbing Fixtures</v>
      </c>
      <c r="B7" s="36">
        <f>Budget1!C7</f>
        <v>17000</v>
      </c>
      <c r="C7" s="123">
        <f t="shared" ref="C7:C18" si="2">sum(D7:T7)-B7</f>
        <v>-17000</v>
      </c>
      <c r="D7" s="127"/>
      <c r="E7" s="28"/>
      <c r="F7" s="128"/>
      <c r="G7" s="128"/>
      <c r="H7" s="128"/>
      <c r="I7" s="128"/>
      <c r="J7" s="129"/>
      <c r="K7" s="128"/>
      <c r="L7" s="128"/>
      <c r="M7" s="128"/>
      <c r="N7" s="128"/>
      <c r="O7" s="128"/>
      <c r="P7" s="129"/>
      <c r="Q7" s="129"/>
      <c r="R7" s="129"/>
      <c r="S7" s="129"/>
      <c r="T7" s="127"/>
      <c r="U7" s="127"/>
      <c r="V7" s="22"/>
      <c r="W7" s="22"/>
      <c r="X7" s="22"/>
      <c r="Y7" s="22"/>
      <c r="Z7" s="22"/>
      <c r="AA7" s="22"/>
      <c r="AB7" s="22"/>
    </row>
    <row r="8" ht="15.75" customHeight="1">
      <c r="A8" s="126" t="str">
        <f>Budget1!A8</f>
        <v>Electrical Fixtures</v>
      </c>
      <c r="B8" s="36">
        <f>Budget1!C8</f>
        <v>18000</v>
      </c>
      <c r="C8" s="123">
        <f t="shared" si="2"/>
        <v>-18000</v>
      </c>
      <c r="D8" s="127"/>
      <c r="E8" s="28"/>
      <c r="F8" s="28"/>
      <c r="G8" s="28"/>
      <c r="H8" s="128"/>
      <c r="I8" s="128"/>
      <c r="J8" s="129"/>
      <c r="K8" s="128"/>
      <c r="L8" s="128"/>
      <c r="M8" s="128"/>
      <c r="N8" s="128"/>
      <c r="O8" s="128"/>
      <c r="P8" s="129"/>
      <c r="Q8" s="129"/>
      <c r="R8" s="129"/>
      <c r="S8" s="129"/>
      <c r="T8" s="127"/>
      <c r="U8" s="127"/>
      <c r="V8" s="22"/>
      <c r="W8" s="22"/>
      <c r="X8" s="22"/>
      <c r="Y8" s="22"/>
      <c r="Z8" s="22"/>
      <c r="AA8" s="22"/>
      <c r="AB8" s="22"/>
    </row>
    <row r="9" ht="15.75" customHeight="1">
      <c r="A9" s="126" t="str">
        <f>Budget1!A9</f>
        <v>Hidden Door</v>
      </c>
      <c r="B9" s="36">
        <f>Budget1!C9</f>
        <v>25000</v>
      </c>
      <c r="C9" s="123">
        <f t="shared" si="2"/>
        <v>-25000</v>
      </c>
      <c r="D9" s="127"/>
      <c r="E9" s="28"/>
      <c r="F9" s="28"/>
      <c r="G9" s="28"/>
      <c r="H9" s="28"/>
      <c r="I9" s="28"/>
      <c r="J9" s="124"/>
      <c r="K9" s="28"/>
      <c r="L9" s="28"/>
      <c r="M9" s="28"/>
      <c r="N9" s="28"/>
      <c r="O9" s="28"/>
      <c r="P9" s="124"/>
      <c r="Q9" s="124"/>
      <c r="R9" s="124"/>
      <c r="S9" s="124"/>
      <c r="T9" s="1"/>
      <c r="U9" s="1"/>
    </row>
    <row r="10" ht="15.75" customHeight="1">
      <c r="A10" s="126" t="str">
        <f>Budget1!A10</f>
        <v>Vault Door</v>
      </c>
      <c r="B10" s="36">
        <f>Budget1!C10</f>
        <v>7500</v>
      </c>
      <c r="C10" s="123">
        <f t="shared" si="2"/>
        <v>-7500</v>
      </c>
      <c r="D10" s="127"/>
      <c r="E10" s="28"/>
      <c r="F10" s="28"/>
      <c r="G10" s="28"/>
      <c r="H10" s="28"/>
      <c r="I10" s="28"/>
      <c r="J10" s="124"/>
      <c r="K10" s="28"/>
      <c r="L10" s="28"/>
      <c r="M10" s="28"/>
      <c r="N10" s="28"/>
      <c r="O10" s="28"/>
      <c r="P10" s="124"/>
      <c r="Q10" s="124"/>
      <c r="R10" s="124"/>
      <c r="S10" s="124"/>
      <c r="T10" s="1"/>
      <c r="U10" s="1"/>
    </row>
    <row r="11" ht="15.75" customHeight="1">
      <c r="A11" s="126" t="str">
        <f>Budget1!A11</f>
        <v>Cabinet</v>
      </c>
      <c r="B11" s="36">
        <f>Budget1!C11</f>
        <v>26000</v>
      </c>
      <c r="C11" s="123">
        <f t="shared" si="2"/>
        <v>-26000</v>
      </c>
      <c r="D11" s="1"/>
      <c r="E11" s="28"/>
      <c r="F11" s="28"/>
      <c r="G11" s="28"/>
      <c r="H11" s="28"/>
      <c r="I11" s="28"/>
      <c r="J11" s="124"/>
      <c r="K11" s="28"/>
      <c r="L11" s="28"/>
      <c r="M11" s="28"/>
      <c r="N11" s="28"/>
      <c r="O11" s="28"/>
      <c r="P11" s="124"/>
      <c r="Q11" s="124"/>
      <c r="R11" s="124"/>
      <c r="S11" s="124"/>
      <c r="T11" s="1"/>
      <c r="U11" s="1"/>
    </row>
    <row r="12" ht="15.75" customHeight="1">
      <c r="A12" s="126" t="str">
        <f>Budget1!A12</f>
        <v>Entry Stair</v>
      </c>
      <c r="B12" s="36">
        <f>Budget1!C12</f>
        <v>17000</v>
      </c>
      <c r="C12" s="123">
        <f t="shared" si="2"/>
        <v>-17000</v>
      </c>
      <c r="D12" s="17"/>
      <c r="E12" s="28"/>
      <c r="F12" s="28"/>
      <c r="G12" s="28"/>
      <c r="H12" s="28"/>
      <c r="I12" s="28"/>
      <c r="J12" s="124"/>
      <c r="K12" s="28"/>
      <c r="L12" s="28"/>
      <c r="M12" s="28"/>
      <c r="N12" s="28"/>
      <c r="O12" s="28"/>
      <c r="P12" s="124"/>
      <c r="Q12" s="124"/>
      <c r="R12" s="124"/>
      <c r="S12" s="124"/>
      <c r="T12" s="1"/>
      <c r="U12" s="1"/>
    </row>
    <row r="13" ht="15.75" customHeight="1">
      <c r="A13" s="126" t="str">
        <f>Budget1!A13</f>
        <v>Tile Material</v>
      </c>
      <c r="B13" s="36">
        <f>Budget1!C13</f>
        <v>80000</v>
      </c>
      <c r="C13" s="123">
        <f t="shared" si="2"/>
        <v>-80000</v>
      </c>
      <c r="D13" s="1"/>
      <c r="E13" s="28"/>
      <c r="F13" s="28"/>
      <c r="G13" s="28"/>
      <c r="H13" s="28"/>
      <c r="I13" s="28"/>
      <c r="J13" s="124"/>
      <c r="K13" s="28"/>
      <c r="L13" s="28"/>
      <c r="M13" s="28"/>
      <c r="N13" s="28"/>
      <c r="O13" s="28"/>
      <c r="P13" s="124"/>
      <c r="Q13" s="124"/>
      <c r="R13" s="124"/>
      <c r="S13" s="124"/>
      <c r="T13" s="1"/>
      <c r="U13" s="1"/>
    </row>
    <row r="14" ht="15.75" customHeight="1">
      <c r="A14" s="126" t="str">
        <f>Budget1!A14</f>
        <v>Rammed Earth</v>
      </c>
      <c r="B14" s="36">
        <f>Budget1!C14</f>
        <v>50000</v>
      </c>
      <c r="C14" s="123">
        <f t="shared" si="2"/>
        <v>-50000</v>
      </c>
      <c r="D14" s="1"/>
      <c r="E14" s="28"/>
      <c r="F14" s="28"/>
      <c r="G14" s="28"/>
      <c r="H14" s="28"/>
      <c r="I14" s="28"/>
      <c r="J14" s="124"/>
      <c r="K14" s="28"/>
      <c r="L14" s="28"/>
      <c r="M14" s="28"/>
      <c r="N14" s="28"/>
      <c r="O14" s="28"/>
      <c r="P14" s="124"/>
      <c r="Q14" s="124"/>
      <c r="R14" s="124"/>
      <c r="S14" s="124"/>
      <c r="T14" s="1"/>
      <c r="U14" s="1"/>
    </row>
    <row r="15" ht="15.75" customHeight="1">
      <c r="A15" s="126" t="str">
        <f>Budget1!A15</f>
        <v>Exterior Glass</v>
      </c>
      <c r="B15" s="36">
        <f>Budget1!C15</f>
        <v>115000</v>
      </c>
      <c r="C15" s="123">
        <f t="shared" si="2"/>
        <v>-115000</v>
      </c>
      <c r="D15" s="1"/>
      <c r="E15" s="28"/>
      <c r="F15" s="28"/>
      <c r="G15" s="28"/>
      <c r="H15" s="28"/>
      <c r="I15" s="28"/>
      <c r="J15" s="124"/>
      <c r="K15" s="28"/>
      <c r="L15" s="28"/>
      <c r="M15" s="28"/>
      <c r="N15" s="28"/>
      <c r="O15" s="28"/>
      <c r="P15" s="124"/>
      <c r="Q15" s="124"/>
      <c r="R15" s="124"/>
      <c r="S15" s="124"/>
      <c r="T15" s="1"/>
      <c r="U15" s="1"/>
    </row>
    <row r="16" ht="15.75" customHeight="1">
      <c r="A16" s="126" t="str">
        <f>Budget1!A16</f>
        <v>Rammed earth Material</v>
      </c>
      <c r="B16" s="36">
        <f>Budget1!C16</f>
        <v>45000</v>
      </c>
      <c r="C16" s="123">
        <f t="shared" si="2"/>
        <v>-45000</v>
      </c>
      <c r="D16" s="1"/>
      <c r="E16" s="28"/>
      <c r="F16" s="28"/>
      <c r="G16" s="28"/>
      <c r="H16" s="28"/>
      <c r="I16" s="28"/>
      <c r="J16" s="124"/>
      <c r="K16" s="28"/>
      <c r="L16" s="28"/>
      <c r="M16" s="28"/>
      <c r="N16" s="28"/>
      <c r="O16" s="28"/>
      <c r="P16" s="124"/>
      <c r="Q16" s="124"/>
      <c r="R16" s="124"/>
      <c r="S16" s="124"/>
      <c r="T16" s="1"/>
      <c r="U16" s="1"/>
    </row>
    <row r="17" ht="15.75" customHeight="1">
      <c r="A17" s="126" t="str">
        <f>Budget1!A17</f>
        <v>Railing</v>
      </c>
      <c r="B17" s="36">
        <f>Budget1!C17</f>
        <v>46000</v>
      </c>
      <c r="C17" s="128">
        <f t="shared" si="2"/>
        <v>-46000</v>
      </c>
      <c r="D17" s="28"/>
      <c r="E17" s="28"/>
      <c r="F17" s="28"/>
      <c r="G17" s="28"/>
      <c r="H17" s="28"/>
      <c r="I17" s="28"/>
      <c r="J17" s="124"/>
      <c r="K17" s="28"/>
      <c r="L17" s="28"/>
      <c r="M17" s="28"/>
      <c r="N17" s="28"/>
      <c r="O17" s="28"/>
      <c r="P17" s="124"/>
      <c r="Q17" s="124"/>
      <c r="R17" s="124"/>
      <c r="S17" s="124"/>
      <c r="T17" s="1"/>
      <c r="U17" s="1"/>
    </row>
    <row r="18" ht="15.75" customHeight="1">
      <c r="A18" s="126" t="str">
        <f>Budget1!A18</f>
        <v>Range</v>
      </c>
      <c r="B18" s="36">
        <f>Budget1!C18</f>
        <v>95000</v>
      </c>
      <c r="C18" s="123">
        <f t="shared" si="2"/>
        <v>-95000</v>
      </c>
      <c r="D18" s="1"/>
      <c r="E18" s="28"/>
      <c r="F18" s="28"/>
      <c r="G18" s="28"/>
      <c r="H18" s="28"/>
      <c r="I18" s="28"/>
      <c r="J18" s="124"/>
      <c r="K18" s="28"/>
      <c r="L18" s="28"/>
      <c r="M18" s="28"/>
      <c r="N18" s="28"/>
      <c r="O18" s="28"/>
      <c r="P18" s="124"/>
      <c r="Q18" s="124"/>
      <c r="R18" s="124"/>
      <c r="S18" s="124"/>
      <c r="T18" s="1"/>
      <c r="U18" s="1"/>
    </row>
    <row r="19" ht="15.75" customHeight="1">
      <c r="A19" s="117" t="str">
        <f>Budget1!A19</f>
        <v>Permiting</v>
      </c>
      <c r="B19" s="36" t="str">
        <f>Budget1!C19</f>
        <v/>
      </c>
      <c r="C19" s="1"/>
      <c r="D19" s="1"/>
      <c r="E19" s="28"/>
      <c r="F19" s="28"/>
      <c r="G19" s="28"/>
      <c r="H19" s="28"/>
      <c r="I19" s="28"/>
      <c r="J19" s="124"/>
      <c r="K19" s="28"/>
      <c r="L19" s="28"/>
      <c r="M19" s="28"/>
      <c r="N19" s="28"/>
      <c r="O19" s="28"/>
      <c r="P19" s="124"/>
      <c r="Q19" s="124"/>
      <c r="R19" s="124"/>
      <c r="S19" s="124"/>
      <c r="T19" s="1"/>
      <c r="U19" s="1"/>
    </row>
    <row r="20" ht="15.75" customHeight="1">
      <c r="A20" s="126" t="str">
        <f>Budget1!A20</f>
        <v>Facilities</v>
      </c>
      <c r="B20" s="36">
        <f>Budget1!C20</f>
        <v>10000</v>
      </c>
      <c r="C20" s="123">
        <f t="shared" ref="C20:C26" si="3">sum(D20:T20)-B20</f>
        <v>-10000</v>
      </c>
      <c r="D20" s="1"/>
      <c r="E20" s="28"/>
      <c r="F20" s="28"/>
      <c r="G20" s="28"/>
      <c r="H20" s="28"/>
      <c r="I20" s="28"/>
      <c r="J20" s="124"/>
      <c r="K20" s="28"/>
      <c r="L20" s="28"/>
      <c r="M20" s="28"/>
      <c r="N20" s="28"/>
      <c r="O20" s="28"/>
      <c r="P20" s="124"/>
      <c r="Q20" s="124"/>
      <c r="R20" s="124"/>
      <c r="S20" s="124"/>
      <c r="T20" s="1"/>
      <c r="U20" s="1"/>
    </row>
    <row r="21" ht="15.75" customHeight="1">
      <c r="A21" s="126" t="str">
        <f>Budget1!A21</f>
        <v>Permits</v>
      </c>
      <c r="B21" s="36">
        <f>Budget1!C21</f>
        <v>30000</v>
      </c>
      <c r="C21" s="123">
        <f t="shared" si="3"/>
        <v>-29275</v>
      </c>
      <c r="D21" s="1">
        <f>675+50</f>
        <v>725</v>
      </c>
      <c r="E21" s="28"/>
      <c r="F21" s="28"/>
      <c r="G21" s="28"/>
      <c r="H21" s="28"/>
      <c r="I21" s="28"/>
      <c r="J21" s="124"/>
      <c r="K21" s="28"/>
      <c r="L21" s="28"/>
      <c r="M21" s="28"/>
      <c r="N21" s="28"/>
      <c r="O21" s="28"/>
      <c r="P21" s="124"/>
      <c r="Q21" s="124"/>
      <c r="R21" s="124"/>
      <c r="S21" s="124"/>
      <c r="T21" s="1"/>
      <c r="U21" s="1"/>
    </row>
    <row r="22" ht="15.75" customHeight="1">
      <c r="A22" s="126" t="str">
        <f>Budget1!A22</f>
        <v>Builders Risk</v>
      </c>
      <c r="B22" s="36">
        <f>Budget1!C22</f>
        <v>5000</v>
      </c>
      <c r="C22" s="123">
        <f t="shared" si="3"/>
        <v>-5000</v>
      </c>
      <c r="D22" s="1"/>
      <c r="E22" s="28"/>
      <c r="F22" s="28"/>
      <c r="G22" s="28"/>
      <c r="H22" s="28"/>
      <c r="I22" s="28"/>
      <c r="J22" s="124"/>
      <c r="K22" s="28"/>
      <c r="L22" s="28"/>
      <c r="M22" s="28"/>
      <c r="N22" s="28"/>
      <c r="O22" s="28"/>
      <c r="P22" s="124"/>
      <c r="Q22" s="124"/>
      <c r="R22" s="124"/>
      <c r="S22" s="124"/>
      <c r="T22" s="1"/>
      <c r="U22" s="1"/>
    </row>
    <row r="23" ht="15.75" customHeight="1">
      <c r="A23" s="126" t="str">
        <f>Budget1!A23</f>
        <v>Manual J</v>
      </c>
      <c r="B23" s="36">
        <f>Budget1!C23</f>
        <v>1500</v>
      </c>
      <c r="C23" s="123">
        <f t="shared" si="3"/>
        <v>-1500</v>
      </c>
      <c r="D23" s="1"/>
      <c r="E23" s="28"/>
      <c r="F23" s="28"/>
      <c r="G23" s="28"/>
      <c r="H23" s="28"/>
      <c r="I23" s="28"/>
      <c r="J23" s="124"/>
      <c r="K23" s="28"/>
      <c r="L23" s="28"/>
      <c r="M23" s="28"/>
      <c r="N23" s="28"/>
      <c r="O23" s="28"/>
      <c r="P23" s="124"/>
      <c r="Q23" s="124"/>
      <c r="R23" s="124"/>
      <c r="S23" s="124"/>
      <c r="T23" s="1"/>
      <c r="U23" s="1"/>
    </row>
    <row r="24" ht="15.75" customHeight="1">
      <c r="A24" s="126" t="str">
        <f>Budget1!A24</f>
        <v>Plans</v>
      </c>
      <c r="B24" s="36">
        <f>Budget1!C24</f>
        <v>1000</v>
      </c>
      <c r="C24" s="123">
        <f t="shared" si="3"/>
        <v>-1000</v>
      </c>
      <c r="D24" s="1"/>
      <c r="E24" s="28"/>
      <c r="F24" s="28"/>
      <c r="G24" s="28"/>
      <c r="H24" s="28"/>
      <c r="I24" s="28"/>
      <c r="J24" s="124"/>
      <c r="K24" s="28"/>
      <c r="L24" s="28"/>
      <c r="M24" s="28"/>
      <c r="N24" s="28"/>
      <c r="O24" s="28"/>
      <c r="P24" s="124"/>
      <c r="Q24" s="124"/>
      <c r="R24" s="124"/>
      <c r="S24" s="124"/>
      <c r="T24" s="1"/>
      <c r="U24" s="1"/>
    </row>
    <row r="25" ht="15.75" customHeight="1">
      <c r="A25" s="126" t="str">
        <f>Budget1!A25</f>
        <v>Soil</v>
      </c>
      <c r="B25" s="36">
        <f>Budget1!C25</f>
        <v>3000</v>
      </c>
      <c r="C25" s="123">
        <f t="shared" si="3"/>
        <v>-3000</v>
      </c>
      <c r="D25" s="119"/>
      <c r="E25" s="28"/>
      <c r="F25" s="31"/>
      <c r="G25" s="31"/>
      <c r="H25" s="31"/>
      <c r="I25" s="31"/>
      <c r="J25" s="121"/>
      <c r="K25" s="31"/>
      <c r="L25" s="31"/>
      <c r="M25" s="31"/>
      <c r="N25" s="31"/>
      <c r="O25" s="31"/>
      <c r="P25" s="121"/>
      <c r="Q25" s="121"/>
      <c r="R25" s="121"/>
      <c r="S25" s="121"/>
      <c r="T25" s="119"/>
      <c r="U25" s="119"/>
      <c r="V25" s="2"/>
      <c r="W25" s="2"/>
      <c r="X25" s="2"/>
      <c r="Y25" s="2"/>
      <c r="Z25" s="2"/>
      <c r="AA25" s="2"/>
      <c r="AB25" s="2"/>
    </row>
    <row r="26" ht="15.75" customHeight="1">
      <c r="A26" s="117" t="str">
        <f>Budget1!A26</f>
        <v>Inspections</v>
      </c>
      <c r="B26" s="36">
        <f>Budget1!C26</f>
        <v>2500</v>
      </c>
      <c r="C26" s="123">
        <f t="shared" si="3"/>
        <v>-2500</v>
      </c>
      <c r="D26" s="1"/>
      <c r="E26" s="28"/>
      <c r="F26" s="28"/>
      <c r="G26" s="28"/>
      <c r="H26" s="28"/>
      <c r="I26" s="28"/>
      <c r="J26" s="124"/>
      <c r="K26" s="28"/>
      <c r="L26" s="28"/>
      <c r="M26" s="28"/>
      <c r="N26" s="28"/>
      <c r="O26" s="28"/>
      <c r="P26" s="124"/>
      <c r="Q26" s="124"/>
      <c r="R26" s="124"/>
      <c r="S26" s="124"/>
      <c r="T26" s="1"/>
      <c r="U26" s="1"/>
    </row>
    <row r="27" ht="15.75" customHeight="1">
      <c r="A27" s="117" t="str">
        <f>Budget1!A27</f>
        <v>Site Utilities</v>
      </c>
      <c r="B27" s="36" t="str">
        <f>Budget1!C27</f>
        <v/>
      </c>
      <c r="C27" s="127"/>
      <c r="D27" s="1"/>
      <c r="E27" s="28"/>
      <c r="F27" s="28"/>
      <c r="G27" s="28"/>
      <c r="H27" s="28"/>
      <c r="I27" s="28"/>
      <c r="J27" s="124"/>
      <c r="K27" s="28"/>
      <c r="L27" s="28"/>
      <c r="M27" s="28"/>
      <c r="N27" s="28"/>
      <c r="O27" s="28"/>
      <c r="P27" s="124"/>
      <c r="Q27" s="124"/>
      <c r="R27" s="124"/>
      <c r="S27" s="124"/>
      <c r="T27" s="1"/>
      <c r="U27" s="1"/>
    </row>
    <row r="28" ht="15.75" customHeight="1">
      <c r="A28" s="126" t="str">
        <f>Budget1!A28</f>
        <v>Site Utilities</v>
      </c>
      <c r="B28" s="36">
        <f>Budget1!C28</f>
        <v>122000</v>
      </c>
      <c r="C28" s="123">
        <f t="shared" ref="C28:C31" si="4">sum(D28:T28)-B28</f>
        <v>-122000</v>
      </c>
      <c r="D28" s="1"/>
      <c r="E28" s="28"/>
      <c r="F28" s="28"/>
      <c r="G28" s="28"/>
      <c r="H28" s="28"/>
      <c r="I28" s="28"/>
      <c r="J28" s="124"/>
      <c r="K28" s="28"/>
      <c r="L28" s="28"/>
      <c r="M28" s="28"/>
      <c r="N28" s="28"/>
      <c r="O28" s="28"/>
      <c r="P28" s="124"/>
      <c r="Q28" s="124"/>
      <c r="R28" s="124"/>
      <c r="S28" s="124"/>
      <c r="T28" s="1"/>
      <c r="U28" s="1"/>
    </row>
    <row r="29" ht="15.75" customHeight="1">
      <c r="A29" s="126" t="str">
        <f>Budget1!A30</f>
        <v>Gas</v>
      </c>
      <c r="B29" s="36">
        <f>Budget1!C30</f>
        <v>10000</v>
      </c>
      <c r="C29" s="123">
        <f t="shared" si="4"/>
        <v>-10000</v>
      </c>
      <c r="D29" s="1"/>
      <c r="E29" s="28"/>
      <c r="F29" s="28"/>
      <c r="G29" s="28"/>
      <c r="H29" s="28"/>
      <c r="I29" s="28"/>
      <c r="J29" s="124"/>
      <c r="K29" s="28"/>
      <c r="L29" s="28"/>
      <c r="M29" s="28"/>
      <c r="N29" s="28"/>
      <c r="O29" s="28"/>
      <c r="P29" s="124"/>
      <c r="Q29" s="124"/>
      <c r="R29" s="124"/>
      <c r="S29" s="124"/>
      <c r="T29" s="1"/>
      <c r="U29" s="1"/>
    </row>
    <row r="30" ht="15.75" customHeight="1">
      <c r="A30" s="126" t="str">
        <f>Budget1!A31</f>
        <v>Power</v>
      </c>
      <c r="B30" s="36">
        <f>Budget1!C31</f>
        <v>5000</v>
      </c>
      <c r="C30" s="123">
        <f t="shared" si="4"/>
        <v>-5000</v>
      </c>
      <c r="D30" s="1"/>
      <c r="E30" s="28"/>
      <c r="F30" s="28"/>
      <c r="G30" s="28"/>
      <c r="H30" s="28"/>
      <c r="I30" s="28"/>
      <c r="J30" s="124"/>
      <c r="K30" s="28"/>
      <c r="L30" s="28"/>
      <c r="M30" s="28"/>
      <c r="N30" s="28"/>
      <c r="O30" s="28"/>
      <c r="P30" s="124"/>
      <c r="Q30" s="124"/>
      <c r="R30" s="124"/>
      <c r="S30" s="124"/>
      <c r="T30" s="1"/>
      <c r="U30" s="1"/>
    </row>
    <row r="31" ht="15.75" customHeight="1">
      <c r="A31" s="126" t="str">
        <f>Budget1!A32</f>
        <v>Water</v>
      </c>
      <c r="B31" s="36">
        <f>Budget1!C32</f>
        <v>5000</v>
      </c>
      <c r="C31" s="123">
        <f t="shared" si="4"/>
        <v>-5000</v>
      </c>
      <c r="D31" s="1"/>
      <c r="E31" s="28"/>
      <c r="F31" s="28"/>
      <c r="G31" s="28"/>
      <c r="H31" s="28"/>
      <c r="I31" s="28"/>
      <c r="J31" s="124"/>
      <c r="K31" s="28"/>
      <c r="L31" s="28"/>
      <c r="M31" s="28"/>
      <c r="N31" s="28"/>
      <c r="O31" s="28"/>
      <c r="P31" s="124"/>
      <c r="Q31" s="124"/>
      <c r="R31" s="124"/>
      <c r="S31" s="124"/>
      <c r="T31" s="1"/>
      <c r="U31" s="1"/>
    </row>
    <row r="32" ht="15.75" customHeight="1">
      <c r="A32" s="117" t="str">
        <f>Budget1!A33</f>
        <v>Structural</v>
      </c>
      <c r="B32" s="36" t="str">
        <f>Budget1!C33</f>
        <v/>
      </c>
      <c r="C32" s="1"/>
      <c r="D32" s="1"/>
      <c r="E32" s="28"/>
      <c r="F32" s="28"/>
      <c r="G32" s="28"/>
      <c r="H32" s="28"/>
      <c r="I32" s="28"/>
      <c r="J32" s="124"/>
      <c r="K32" s="28"/>
      <c r="L32" s="28"/>
      <c r="M32" s="28"/>
      <c r="N32" s="28"/>
      <c r="O32" s="28"/>
      <c r="P32" s="124"/>
      <c r="Q32" s="124"/>
      <c r="R32" s="124"/>
      <c r="S32" s="124"/>
      <c r="T32" s="1"/>
      <c r="U32" s="1"/>
    </row>
    <row r="33" ht="15.75" customHeight="1">
      <c r="A33" s="126" t="str">
        <f>Budget1!A34</f>
        <v>Ftgs</v>
      </c>
      <c r="B33" s="36">
        <f>Budget1!C34</f>
        <v>35710.41</v>
      </c>
      <c r="C33" s="123">
        <f t="shared" ref="C33:C42" si="5">sum(D33:T33)-B33</f>
        <v>-35710.41</v>
      </c>
      <c r="D33" s="1"/>
      <c r="E33" s="28"/>
      <c r="F33" s="28"/>
      <c r="G33" s="28"/>
      <c r="H33" s="28"/>
      <c r="I33" s="28"/>
      <c r="J33" s="124"/>
      <c r="K33" s="28"/>
      <c r="L33" s="28"/>
      <c r="M33" s="28"/>
      <c r="N33" s="28"/>
      <c r="O33" s="28"/>
      <c r="P33" s="124"/>
      <c r="Q33" s="124"/>
      <c r="R33" s="124"/>
      <c r="S33" s="124"/>
      <c r="T33" s="1"/>
      <c r="U33" s="1"/>
    </row>
    <row r="34" ht="15.75" customHeight="1">
      <c r="A34" s="126" t="str">
        <f>Budget1!A35</f>
        <v>Wall</v>
      </c>
      <c r="B34" s="36">
        <f>Budget1!C35</f>
        <v>63078</v>
      </c>
      <c r="C34" s="123">
        <f t="shared" si="5"/>
        <v>-63078</v>
      </c>
      <c r="D34" s="1"/>
      <c r="E34" s="28"/>
      <c r="F34" s="28"/>
      <c r="G34" s="28"/>
      <c r="H34" s="28"/>
      <c r="I34" s="28"/>
      <c r="J34" s="124"/>
      <c r="K34" s="28"/>
      <c r="L34" s="28"/>
      <c r="M34" s="28"/>
      <c r="N34" s="28"/>
      <c r="O34" s="28"/>
      <c r="P34" s="124"/>
      <c r="Q34" s="124"/>
      <c r="R34" s="124"/>
      <c r="S34" s="124"/>
      <c r="T34" s="124"/>
      <c r="U34" s="1"/>
    </row>
    <row r="35" ht="15.75" customHeight="1">
      <c r="A35" s="126" t="str">
        <f>Budget1!A36</f>
        <v>Slab</v>
      </c>
      <c r="B35" s="36">
        <f>Budget1!C36</f>
        <v>49345.1</v>
      </c>
      <c r="C35" s="123">
        <f t="shared" si="5"/>
        <v>-49345.1</v>
      </c>
      <c r="D35" s="1"/>
      <c r="E35" s="28"/>
      <c r="F35" s="28"/>
      <c r="G35" s="28"/>
      <c r="H35" s="28"/>
      <c r="I35" s="28"/>
      <c r="J35" s="124"/>
      <c r="K35" s="28"/>
      <c r="L35" s="28"/>
      <c r="M35" s="28"/>
      <c r="N35" s="28"/>
      <c r="O35" s="28"/>
      <c r="P35" s="124"/>
      <c r="Q35" s="124"/>
      <c r="R35" s="124"/>
      <c r="S35" s="124"/>
      <c r="T35" s="1"/>
      <c r="U35" s="1"/>
    </row>
    <row r="36" ht="15.75" customHeight="1">
      <c r="A36" s="126" t="str">
        <f>Budget1!A37</f>
        <v>Pan</v>
      </c>
      <c r="B36" s="36">
        <f>Budget1!C37</f>
        <v>32075</v>
      </c>
      <c r="C36" s="123">
        <f t="shared" si="5"/>
        <v>-32075</v>
      </c>
      <c r="D36" s="1"/>
      <c r="E36" s="28"/>
      <c r="F36" s="28"/>
      <c r="G36" s="28"/>
      <c r="H36" s="28"/>
      <c r="I36" s="28"/>
      <c r="J36" s="124"/>
      <c r="K36" s="28"/>
      <c r="L36" s="28"/>
      <c r="M36" s="28"/>
      <c r="N36" s="28"/>
      <c r="O36" s="28"/>
      <c r="P36" s="124"/>
      <c r="Q36" s="124"/>
      <c r="R36" s="124"/>
      <c r="S36" s="124"/>
      <c r="T36" s="1"/>
      <c r="U36" s="1"/>
    </row>
    <row r="37" ht="15.75" customHeight="1">
      <c r="A37" s="126" t="str">
        <f>Budget1!A38</f>
        <v>Site</v>
      </c>
      <c r="B37" s="36">
        <f>Budget1!C38</f>
        <v>9640</v>
      </c>
      <c r="C37" s="123">
        <f t="shared" si="5"/>
        <v>-9640</v>
      </c>
      <c r="D37" s="119"/>
      <c r="E37" s="28"/>
      <c r="F37" s="31"/>
      <c r="G37" s="31"/>
      <c r="H37" s="31"/>
      <c r="I37" s="31"/>
      <c r="J37" s="121"/>
      <c r="K37" s="31"/>
      <c r="L37" s="31"/>
      <c r="M37" s="31"/>
      <c r="N37" s="31"/>
      <c r="O37" s="31"/>
      <c r="P37" s="121"/>
      <c r="Q37" s="121"/>
      <c r="R37" s="121"/>
      <c r="S37" s="121"/>
      <c r="T37" s="119"/>
      <c r="U37" s="119"/>
      <c r="V37" s="2"/>
      <c r="W37" s="2"/>
      <c r="X37" s="2"/>
      <c r="Y37" s="2"/>
      <c r="Z37" s="2"/>
      <c r="AA37" s="2"/>
      <c r="AB37" s="2"/>
    </row>
    <row r="38" ht="15.75" customHeight="1">
      <c r="A38" s="126" t="str">
        <f>Budget1!A39</f>
        <v>Pretreat</v>
      </c>
      <c r="B38" s="36">
        <f>Budget1!C39</f>
        <v>1000</v>
      </c>
      <c r="C38" s="123">
        <f t="shared" si="5"/>
        <v>-1000</v>
      </c>
      <c r="D38" s="1"/>
      <c r="E38" s="28"/>
      <c r="F38" s="28"/>
      <c r="G38" s="28"/>
      <c r="H38" s="28"/>
      <c r="I38" s="28"/>
      <c r="J38" s="124"/>
      <c r="K38" s="28"/>
      <c r="L38" s="28"/>
      <c r="M38" s="28"/>
      <c r="N38" s="28"/>
      <c r="O38" s="28"/>
      <c r="P38" s="124"/>
      <c r="Q38" s="124"/>
      <c r="R38" s="124"/>
      <c r="S38" s="124"/>
      <c r="T38" s="1"/>
      <c r="U38" s="1"/>
    </row>
    <row r="39" ht="15.75" customHeight="1">
      <c r="A39" s="126" t="str">
        <f>Budget1!A40</f>
        <v>Steel</v>
      </c>
      <c r="B39" s="36">
        <f>Budget1!C40</f>
        <v>184000</v>
      </c>
      <c r="C39" s="123">
        <f t="shared" si="5"/>
        <v>-184000</v>
      </c>
      <c r="D39" s="1"/>
      <c r="E39" s="28"/>
      <c r="F39" s="28"/>
      <c r="G39" s="28"/>
      <c r="H39" s="28"/>
      <c r="I39" s="28"/>
      <c r="J39" s="124"/>
      <c r="K39" s="28"/>
      <c r="L39" s="28"/>
      <c r="M39" s="28"/>
      <c r="N39" s="28"/>
      <c r="O39" s="28"/>
      <c r="P39" s="124"/>
      <c r="Q39" s="124"/>
      <c r="R39" s="124"/>
      <c r="S39" s="124"/>
      <c r="T39" s="124"/>
      <c r="U39" s="1"/>
    </row>
    <row r="40" ht="15.75" customHeight="1">
      <c r="A40" s="126" t="str">
        <f>Budget1!A41</f>
        <v>Lumber</v>
      </c>
      <c r="B40" s="36">
        <f>Budget1!C41</f>
        <v>50000</v>
      </c>
      <c r="C40" s="123">
        <f t="shared" si="5"/>
        <v>-50000</v>
      </c>
      <c r="D40" s="1"/>
      <c r="E40" s="28"/>
      <c r="F40" s="28"/>
      <c r="G40" s="28"/>
      <c r="H40" s="28"/>
      <c r="I40" s="28"/>
      <c r="J40" s="124"/>
      <c r="K40" s="28"/>
      <c r="L40" s="28"/>
      <c r="M40" s="28"/>
      <c r="N40" s="28"/>
      <c r="O40" s="28"/>
      <c r="P40" s="124"/>
      <c r="Q40" s="124"/>
      <c r="R40" s="124"/>
      <c r="S40" s="124"/>
      <c r="T40" s="124"/>
      <c r="U40" s="1"/>
    </row>
    <row r="41" ht="15.75" customHeight="1">
      <c r="A41" s="126" t="str">
        <f>Budget1!A42</f>
        <v>Framing Labor</v>
      </c>
      <c r="B41" s="36">
        <f>Budget1!C42</f>
        <v>80600</v>
      </c>
      <c r="C41" s="123">
        <f t="shared" si="5"/>
        <v>-80600</v>
      </c>
      <c r="D41" s="1"/>
      <c r="E41" s="28"/>
      <c r="F41" s="28"/>
      <c r="G41" s="28"/>
      <c r="H41" s="28"/>
      <c r="I41" s="28"/>
      <c r="J41" s="124"/>
      <c r="K41" s="28"/>
      <c r="L41" s="28"/>
      <c r="M41" s="28"/>
      <c r="N41" s="28"/>
      <c r="O41" s="28"/>
      <c r="P41" s="124"/>
      <c r="Q41" s="124"/>
      <c r="R41" s="124"/>
      <c r="S41" s="124"/>
      <c r="T41" s="1"/>
      <c r="U41" s="1"/>
    </row>
    <row r="42" ht="15.75" customHeight="1">
      <c r="A42" s="126" t="str">
        <f>Budget1!A43</f>
        <v>Truss</v>
      </c>
      <c r="B42" s="36">
        <f>Budget1!C43</f>
        <v>40000</v>
      </c>
      <c r="C42" s="123">
        <f t="shared" si="5"/>
        <v>-40000</v>
      </c>
      <c r="D42" s="1"/>
      <c r="E42" s="28"/>
      <c r="F42" s="28"/>
      <c r="G42" s="28"/>
      <c r="H42" s="28"/>
      <c r="I42" s="28"/>
      <c r="J42" s="124"/>
      <c r="K42" s="28"/>
      <c r="L42" s="28"/>
      <c r="M42" s="28"/>
      <c r="N42" s="28"/>
      <c r="O42" s="28"/>
      <c r="P42" s="124"/>
      <c r="Q42" s="124"/>
      <c r="R42" s="124"/>
      <c r="S42" s="124"/>
      <c r="T42" s="124"/>
      <c r="U42" s="1"/>
    </row>
    <row r="43" ht="15.75" customHeight="1">
      <c r="A43" s="117" t="str">
        <f>Budget1!A44</f>
        <v>Mechanical Rough</v>
      </c>
      <c r="B43" s="36" t="str">
        <f>Budget1!C44</f>
        <v/>
      </c>
      <c r="C43" s="1"/>
      <c r="D43" s="1"/>
      <c r="E43" s="28"/>
      <c r="F43" s="28"/>
      <c r="G43" s="28"/>
      <c r="H43" s="28"/>
      <c r="I43" s="28"/>
      <c r="J43" s="124"/>
      <c r="K43" s="28"/>
      <c r="L43" s="28"/>
      <c r="M43" s="28"/>
      <c r="N43" s="28"/>
      <c r="O43" s="28"/>
      <c r="P43" s="124"/>
      <c r="Q43" s="124"/>
      <c r="R43" s="124"/>
      <c r="S43" s="124"/>
      <c r="T43" s="124"/>
      <c r="U43" s="1"/>
      <c r="V43" s="124"/>
    </row>
    <row r="44" ht="15.75" customHeight="1">
      <c r="A44" s="117" t="str">
        <f>Budget1!A45</f>
        <v>HVAC/ERV</v>
      </c>
      <c r="B44" s="36">
        <f>Budget1!C45</f>
        <v>32000</v>
      </c>
      <c r="C44" s="123">
        <f t="shared" ref="C44:C49" si="6">sum(D44:T44)-B44</f>
        <v>-32000</v>
      </c>
      <c r="D44" s="1"/>
      <c r="E44" s="28"/>
      <c r="F44" s="28"/>
      <c r="G44" s="28"/>
      <c r="H44" s="28"/>
      <c r="I44" s="28"/>
      <c r="J44" s="124"/>
      <c r="K44" s="28"/>
      <c r="L44" s="28"/>
      <c r="M44" s="28"/>
      <c r="N44" s="28"/>
      <c r="O44" s="28"/>
      <c r="P44" s="124"/>
      <c r="Q44" s="124"/>
      <c r="R44" s="124"/>
      <c r="S44" s="124"/>
      <c r="T44" s="1"/>
      <c r="U44" s="1"/>
    </row>
    <row r="45" ht="15.75" customHeight="1">
      <c r="A45" s="126" t="str">
        <f>Budget1!A46</f>
        <v>Plumbing/Gas</v>
      </c>
      <c r="B45" s="36">
        <f>Budget1!C46</f>
        <v>25000</v>
      </c>
      <c r="C45" s="123">
        <f t="shared" si="6"/>
        <v>-25000</v>
      </c>
      <c r="D45" s="119"/>
      <c r="E45" s="28"/>
      <c r="F45" s="31"/>
      <c r="G45" s="31"/>
      <c r="H45" s="31"/>
      <c r="I45" s="31"/>
      <c r="J45" s="121"/>
      <c r="K45" s="31"/>
      <c r="L45" s="31"/>
      <c r="M45" s="31"/>
      <c r="N45" s="31"/>
      <c r="O45" s="31"/>
      <c r="P45" s="121"/>
      <c r="Q45" s="121"/>
      <c r="R45" s="121"/>
      <c r="S45" s="121"/>
      <c r="T45" s="119"/>
      <c r="U45" s="119"/>
      <c r="V45" s="2"/>
      <c r="W45" s="2"/>
      <c r="X45" s="2"/>
      <c r="Y45" s="2"/>
      <c r="Z45" s="2"/>
      <c r="AA45" s="2"/>
      <c r="AB45" s="2"/>
    </row>
    <row r="46" ht="15.75" customHeight="1">
      <c r="A46" s="126" t="str">
        <f>Budget1!A47</f>
        <v>Electrical</v>
      </c>
      <c r="B46" s="36">
        <f>Budget1!C47</f>
        <v>45000</v>
      </c>
      <c r="C46" s="123">
        <f t="shared" si="6"/>
        <v>-45000</v>
      </c>
      <c r="D46" s="1"/>
      <c r="E46" s="28"/>
      <c r="F46" s="28"/>
      <c r="G46" s="28"/>
      <c r="H46" s="28"/>
      <c r="I46" s="28"/>
      <c r="J46" s="124"/>
      <c r="K46" s="28"/>
      <c r="L46" s="28"/>
      <c r="M46" s="28"/>
      <c r="N46" s="28"/>
      <c r="O46" s="28"/>
      <c r="P46" s="124"/>
      <c r="Q46" s="124"/>
      <c r="R46" s="124"/>
      <c r="S46" s="124"/>
      <c r="T46" s="1"/>
      <c r="U46" s="1"/>
      <c r="V46" s="130"/>
    </row>
    <row r="47" ht="15.75" customHeight="1">
      <c r="A47" s="126" t="str">
        <f>Budget1!A48</f>
        <v>AV</v>
      </c>
      <c r="B47" s="36">
        <f>Budget1!C48</f>
        <v>80000</v>
      </c>
      <c r="C47" s="123">
        <f t="shared" si="6"/>
        <v>-80000</v>
      </c>
      <c r="D47" s="1"/>
      <c r="E47" s="28"/>
      <c r="F47" s="28"/>
      <c r="G47" s="28"/>
      <c r="H47" s="28"/>
      <c r="I47" s="28"/>
      <c r="J47" s="124"/>
      <c r="K47" s="28"/>
      <c r="L47" s="28"/>
      <c r="M47" s="28"/>
      <c r="N47" s="28"/>
      <c r="O47" s="28"/>
      <c r="P47" s="124"/>
      <c r="Q47" s="124"/>
      <c r="R47" s="124"/>
      <c r="S47" s="124"/>
      <c r="T47" s="1"/>
      <c r="U47" s="1"/>
    </row>
    <row r="48" ht="15.75" customHeight="1">
      <c r="A48" s="126" t="str">
        <f>Budget1!A49</f>
        <v>Solar</v>
      </c>
      <c r="B48" s="36">
        <f>Budget1!C49</f>
        <v>25000</v>
      </c>
      <c r="C48" s="123">
        <f t="shared" si="6"/>
        <v>-25000</v>
      </c>
      <c r="D48" s="1"/>
      <c r="E48" s="28"/>
      <c r="F48" s="28"/>
      <c r="G48" s="28"/>
      <c r="H48" s="28"/>
      <c r="I48" s="28"/>
      <c r="J48" s="124"/>
      <c r="K48" s="28"/>
      <c r="L48" s="28"/>
      <c r="M48" s="28"/>
      <c r="N48" s="28"/>
      <c r="O48" s="28"/>
      <c r="P48" s="124"/>
      <c r="Q48" s="124"/>
      <c r="R48" s="124"/>
      <c r="S48" s="124"/>
      <c r="T48" s="124"/>
      <c r="U48" s="1"/>
    </row>
    <row r="49" ht="15.75" customHeight="1">
      <c r="A49" s="126" t="str">
        <f>Budget1!A50</f>
        <v>Fireplace</v>
      </c>
      <c r="B49" s="36">
        <f>Budget1!C50</f>
        <v>22500</v>
      </c>
      <c r="C49" s="123">
        <f t="shared" si="6"/>
        <v>-22500</v>
      </c>
      <c r="D49" s="1"/>
      <c r="E49" s="28"/>
      <c r="F49" s="28"/>
      <c r="G49" s="28"/>
      <c r="H49" s="28"/>
      <c r="I49" s="28"/>
      <c r="J49" s="124"/>
      <c r="K49" s="28"/>
      <c r="L49" s="28"/>
      <c r="M49" s="28"/>
      <c r="N49" s="28"/>
      <c r="O49" s="28"/>
      <c r="P49" s="124"/>
      <c r="Q49" s="124"/>
      <c r="R49" s="124"/>
      <c r="S49" s="124"/>
      <c r="T49" s="1"/>
      <c r="U49" s="1"/>
    </row>
    <row r="50" ht="15.75" customHeight="1">
      <c r="A50" s="117" t="str">
        <f>Budget1!A51</f>
        <v>Exterior Sealing</v>
      </c>
      <c r="B50" s="36" t="str">
        <f>Budget1!C51</f>
        <v/>
      </c>
      <c r="C50" s="1"/>
      <c r="D50" s="1"/>
      <c r="E50" s="28"/>
      <c r="F50" s="28"/>
      <c r="G50" s="28"/>
      <c r="H50" s="28"/>
      <c r="I50" s="28"/>
      <c r="J50" s="124"/>
      <c r="K50" s="28"/>
      <c r="L50" s="28"/>
      <c r="M50" s="131"/>
      <c r="N50" s="28"/>
      <c r="O50" s="28"/>
      <c r="P50" s="124"/>
      <c r="Q50" s="124"/>
      <c r="R50" s="124"/>
      <c r="S50" s="124"/>
      <c r="T50" s="1"/>
      <c r="U50" s="1"/>
    </row>
    <row r="51" ht="15.75" customHeight="1">
      <c r="A51" s="126" t="str">
        <f>Budget1!A52</f>
        <v>Roofing </v>
      </c>
      <c r="B51" s="36">
        <f>Budget1!C52</f>
        <v>35000</v>
      </c>
      <c r="C51" s="123">
        <f t="shared" ref="C51:C58" si="7">sum(D51:T51)-B51</f>
        <v>-35000</v>
      </c>
      <c r="D51" s="1"/>
      <c r="E51" s="28"/>
      <c r="F51" s="28"/>
      <c r="G51" s="28"/>
      <c r="H51" s="28"/>
      <c r="I51" s="28"/>
      <c r="J51" s="124"/>
      <c r="K51" s="28"/>
      <c r="L51" s="28"/>
      <c r="M51" s="28"/>
      <c r="N51" s="28"/>
      <c r="O51" s="28"/>
      <c r="P51" s="124"/>
      <c r="Q51" s="124"/>
      <c r="R51" s="124"/>
      <c r="S51" s="124"/>
      <c r="T51" s="1"/>
      <c r="U51" s="1"/>
    </row>
    <row r="52" ht="15.75" customHeight="1">
      <c r="A52" s="126" t="str">
        <f>Budget1!A53</f>
        <v>Coatings</v>
      </c>
      <c r="B52" s="36">
        <f>Budget1!C53</f>
        <v>102000</v>
      </c>
      <c r="C52" s="123">
        <f t="shared" si="7"/>
        <v>-102000</v>
      </c>
      <c r="D52" s="1"/>
      <c r="E52" s="28"/>
      <c r="F52" s="28"/>
      <c r="G52" s="28"/>
      <c r="H52" s="28"/>
      <c r="I52" s="28"/>
      <c r="J52" s="124"/>
      <c r="K52" s="28"/>
      <c r="L52" s="28"/>
      <c r="M52" s="28"/>
      <c r="N52" s="28"/>
      <c r="O52" s="28"/>
      <c r="P52" s="124"/>
      <c r="Q52" s="124"/>
      <c r="R52" s="124"/>
      <c r="S52" s="124"/>
      <c r="T52" s="1"/>
      <c r="U52" s="1"/>
    </row>
    <row r="53" ht="15.75" customHeight="1">
      <c r="A53" s="126" t="str">
        <f>Budget1!A54</f>
        <v>Exterior Glass</v>
      </c>
      <c r="B53" s="36">
        <f>Budget1!C54</f>
        <v>115000</v>
      </c>
      <c r="C53" s="123">
        <f t="shared" si="7"/>
        <v>-115000</v>
      </c>
      <c r="D53" s="1"/>
      <c r="E53" s="28"/>
      <c r="F53" s="28"/>
      <c r="G53" s="31"/>
      <c r="H53" s="31"/>
      <c r="I53" s="31"/>
      <c r="J53" s="124"/>
      <c r="K53" s="31"/>
      <c r="L53" s="31"/>
      <c r="M53" s="31"/>
      <c r="N53" s="31"/>
      <c r="O53" s="31"/>
      <c r="P53" s="124"/>
      <c r="Q53" s="121"/>
      <c r="R53" s="121"/>
      <c r="S53" s="121"/>
      <c r="T53" s="119"/>
      <c r="U53" s="119"/>
      <c r="V53" s="2"/>
      <c r="W53" s="2"/>
      <c r="X53" s="2"/>
      <c r="Y53" s="2"/>
      <c r="Z53" s="2"/>
      <c r="AA53" s="2"/>
      <c r="AB53" s="2"/>
    </row>
    <row r="54" ht="15.75" customHeight="1">
      <c r="A54" s="126" t="str">
        <f>Budget1!A55</f>
        <v>Exterior Doors</v>
      </c>
      <c r="B54" s="36">
        <f>Budget1!C55</f>
        <v>13000</v>
      </c>
      <c r="C54" s="123">
        <f t="shared" si="7"/>
        <v>-13000</v>
      </c>
      <c r="D54" s="119"/>
      <c r="E54" s="28"/>
      <c r="F54" s="31"/>
      <c r="G54" s="31"/>
      <c r="H54" s="31"/>
      <c r="I54" s="31"/>
      <c r="J54" s="121"/>
      <c r="K54" s="31"/>
      <c r="L54" s="31"/>
      <c r="M54" s="31"/>
      <c r="N54" s="31"/>
      <c r="O54" s="31"/>
      <c r="P54" s="121"/>
      <c r="Q54" s="121"/>
      <c r="R54" s="121"/>
      <c r="S54" s="121"/>
      <c r="T54" s="119"/>
      <c r="U54" s="119"/>
      <c r="V54" s="2"/>
      <c r="W54" s="2"/>
      <c r="X54" s="2"/>
      <c r="Y54" s="2"/>
      <c r="Z54" s="2"/>
      <c r="AA54" s="2"/>
      <c r="AB54" s="2"/>
    </row>
    <row r="55" ht="15.75" customHeight="1">
      <c r="A55" s="126" t="str">
        <f>Budget1!A56</f>
        <v>Garage Door</v>
      </c>
      <c r="B55" s="36">
        <f>Budget1!C56</f>
        <v>22500</v>
      </c>
      <c r="C55" s="123">
        <f t="shared" si="7"/>
        <v>-22500</v>
      </c>
      <c r="D55" s="1"/>
      <c r="E55" s="28"/>
      <c r="F55" s="28"/>
      <c r="G55" s="28"/>
      <c r="H55" s="28"/>
      <c r="I55" s="28"/>
      <c r="J55" s="124"/>
      <c r="K55" s="28"/>
      <c r="L55" s="28"/>
      <c r="M55" s="28"/>
      <c r="N55" s="28"/>
      <c r="O55" s="28"/>
      <c r="P55" s="124"/>
      <c r="Q55" s="124"/>
      <c r="R55" s="124"/>
      <c r="S55" s="124"/>
      <c r="T55" s="1"/>
      <c r="U55" s="1"/>
    </row>
    <row r="56" ht="15.75" customHeight="1">
      <c r="A56" s="126" t="str">
        <f>Budget1!A57</f>
        <v>Exterior Stucco</v>
      </c>
      <c r="B56" s="36">
        <f>Budget1!C57</f>
        <v>60000</v>
      </c>
      <c r="C56" s="123">
        <f t="shared" si="7"/>
        <v>-60000</v>
      </c>
      <c r="D56" s="1"/>
      <c r="E56" s="28"/>
      <c r="F56" s="28"/>
      <c r="G56" s="28"/>
      <c r="H56" s="28"/>
      <c r="I56" s="28"/>
      <c r="J56" s="124"/>
      <c r="K56" s="28"/>
      <c r="L56" s="28"/>
      <c r="M56" s="28"/>
      <c r="N56" s="28"/>
      <c r="O56" s="28"/>
      <c r="P56" s="124"/>
      <c r="Q56" s="124"/>
      <c r="R56" s="124"/>
      <c r="S56" s="124"/>
      <c r="T56" s="1"/>
      <c r="U56" s="1"/>
    </row>
    <row r="57" ht="15.75" customHeight="1">
      <c r="A57" s="126" t="str">
        <f>Budget1!A58</f>
        <v>Stone Veneer </v>
      </c>
      <c r="B57" s="36">
        <f>Budget1!C58</f>
        <v>30000</v>
      </c>
      <c r="C57" s="123">
        <f t="shared" si="7"/>
        <v>-30000</v>
      </c>
      <c r="D57" s="1"/>
      <c r="E57" s="28"/>
      <c r="F57" s="28"/>
      <c r="G57" s="28"/>
      <c r="H57" s="28"/>
      <c r="I57" s="28"/>
      <c r="J57" s="124"/>
      <c r="K57" s="28"/>
      <c r="L57" s="28"/>
      <c r="M57" s="28"/>
      <c r="N57" s="28"/>
      <c r="O57" s="28"/>
      <c r="P57" s="124"/>
      <c r="Q57" s="124"/>
      <c r="R57" s="124"/>
      <c r="S57" s="124"/>
      <c r="T57" s="1"/>
      <c r="U57" s="1"/>
    </row>
    <row r="58" ht="15.75" customHeight="1">
      <c r="A58" s="126" t="str">
        <f>Budget1!A59</f>
        <v>Rammed Earth</v>
      </c>
      <c r="B58" s="36">
        <f>Budget1!C59</f>
        <v>50000</v>
      </c>
      <c r="C58" s="123">
        <f t="shared" si="7"/>
        <v>-50000</v>
      </c>
      <c r="D58" s="1"/>
      <c r="E58" s="28"/>
      <c r="F58" s="28"/>
      <c r="G58" s="28"/>
      <c r="H58" s="28"/>
      <c r="I58" s="28"/>
      <c r="J58" s="124"/>
      <c r="K58" s="28"/>
      <c r="L58" s="28"/>
      <c r="M58" s="28"/>
      <c r="N58" s="28"/>
      <c r="O58" s="28"/>
      <c r="P58" s="124"/>
      <c r="Q58" s="124"/>
      <c r="R58" s="124"/>
      <c r="S58" s="124"/>
      <c r="T58" s="124"/>
      <c r="U58" s="1"/>
    </row>
    <row r="59" ht="15.75" customHeight="1">
      <c r="A59" s="117" t="str">
        <f>Budget1!A60</f>
        <v>Wall/Cieling Finish</v>
      </c>
      <c r="B59" s="36" t="str">
        <f>Budget1!C60</f>
        <v/>
      </c>
      <c r="C59" s="1"/>
      <c r="D59" s="1"/>
      <c r="E59" s="28"/>
      <c r="F59" s="28"/>
      <c r="G59" s="28"/>
      <c r="H59" s="28"/>
      <c r="I59" s="28"/>
      <c r="J59" s="124"/>
      <c r="K59" s="28"/>
      <c r="L59" s="28"/>
      <c r="M59" s="28"/>
      <c r="N59" s="28"/>
      <c r="O59" s="28"/>
      <c r="P59" s="124"/>
      <c r="Q59" s="124"/>
      <c r="R59" s="124"/>
      <c r="S59" s="124"/>
      <c r="T59" s="1"/>
      <c r="U59" s="1"/>
    </row>
    <row r="60" ht="15.75" customHeight="1">
      <c r="A60" s="126" t="str">
        <f>Budget1!A61</f>
        <v>Insulation</v>
      </c>
      <c r="B60" s="36">
        <f>Budget1!C61</f>
        <v>40000</v>
      </c>
      <c r="C60" s="123">
        <f t="shared" ref="C60:C63" si="8">sum(D60:T60)-B60</f>
        <v>-40000</v>
      </c>
      <c r="D60" s="1"/>
      <c r="E60" s="28"/>
      <c r="F60" s="28"/>
      <c r="G60" s="28"/>
      <c r="H60" s="28"/>
      <c r="I60" s="28"/>
      <c r="J60" s="124"/>
      <c r="K60" s="28"/>
      <c r="L60" s="28"/>
      <c r="M60" s="132"/>
      <c r="N60" s="28"/>
      <c r="O60" s="28"/>
      <c r="P60" s="124"/>
      <c r="Q60" s="124"/>
      <c r="R60" s="124"/>
      <c r="S60" s="124"/>
      <c r="T60" s="124"/>
      <c r="U60" s="1"/>
    </row>
    <row r="61" ht="15.75" customHeight="1">
      <c r="A61" s="126" t="str">
        <f>Budget1!A62</f>
        <v>Sheetrock</v>
      </c>
      <c r="B61" s="36">
        <f>Budget1!C62</f>
        <v>41500</v>
      </c>
      <c r="C61" s="123">
        <f t="shared" si="8"/>
        <v>-41500</v>
      </c>
      <c r="D61" s="1"/>
      <c r="E61" s="28"/>
      <c r="F61" s="28"/>
      <c r="G61" s="31"/>
      <c r="H61" s="31"/>
      <c r="I61" s="31"/>
      <c r="J61" s="121"/>
      <c r="K61" s="31"/>
      <c r="L61" s="31"/>
      <c r="M61" s="31"/>
      <c r="N61" s="31"/>
      <c r="O61" s="28"/>
      <c r="P61" s="28"/>
      <c r="Q61" s="121"/>
      <c r="R61" s="124"/>
      <c r="S61" s="121"/>
      <c r="T61" s="119"/>
      <c r="U61" s="119"/>
      <c r="V61" s="2"/>
      <c r="W61" s="2"/>
      <c r="X61" s="2"/>
      <c r="Y61" s="2"/>
      <c r="Z61" s="2"/>
      <c r="AA61" s="2"/>
      <c r="AB61" s="2"/>
    </row>
    <row r="62" ht="15.75" customHeight="1">
      <c r="A62" s="126" t="str">
        <f>Budget1!A63</f>
        <v>Paint</v>
      </c>
      <c r="B62" s="36">
        <f>Budget1!C63</f>
        <v>23000</v>
      </c>
      <c r="C62" s="123">
        <f t="shared" si="8"/>
        <v>-23000</v>
      </c>
      <c r="D62" s="119"/>
      <c r="E62" s="28"/>
      <c r="F62" s="31"/>
      <c r="G62" s="31"/>
      <c r="H62" s="31"/>
      <c r="I62" s="31"/>
      <c r="J62" s="121"/>
      <c r="K62" s="31"/>
      <c r="L62" s="31"/>
      <c r="M62" s="31"/>
      <c r="N62" s="31"/>
      <c r="O62" s="31"/>
      <c r="P62" s="121"/>
      <c r="Q62" s="121"/>
      <c r="R62" s="121"/>
      <c r="S62" s="121"/>
      <c r="T62" s="119"/>
      <c r="U62" s="119"/>
      <c r="V62" s="2"/>
      <c r="W62" s="2"/>
      <c r="X62" s="2"/>
      <c r="Y62" s="2"/>
      <c r="Z62" s="2"/>
      <c r="AA62" s="2"/>
      <c r="AB62" s="2"/>
    </row>
    <row r="63" ht="15.75" customHeight="1">
      <c r="A63" s="126" t="str">
        <f>Budget1!A64</f>
        <v>Tile Labor</v>
      </c>
      <c r="B63" s="36">
        <f>Budget1!C64</f>
        <v>53000</v>
      </c>
      <c r="C63" s="123">
        <f t="shared" si="8"/>
        <v>-53000</v>
      </c>
      <c r="D63" s="1"/>
      <c r="E63" s="28"/>
      <c r="F63" s="28"/>
      <c r="G63" s="28"/>
      <c r="H63" s="28"/>
      <c r="I63" s="28"/>
      <c r="J63" s="124"/>
      <c r="K63" s="28"/>
      <c r="L63" s="28"/>
      <c r="M63" s="28"/>
      <c r="N63" s="28"/>
      <c r="O63" s="28"/>
      <c r="P63" s="124"/>
      <c r="Q63" s="124"/>
      <c r="R63" s="124"/>
      <c r="S63" s="124"/>
      <c r="T63" s="1"/>
      <c r="U63" s="1"/>
    </row>
    <row r="64" ht="15.75" customHeight="1">
      <c r="A64" s="117" t="str">
        <f>Budget1!A65</f>
        <v>Carpentery</v>
      </c>
      <c r="B64" s="36" t="str">
        <f>Budget1!C65</f>
        <v/>
      </c>
      <c r="C64" s="1"/>
      <c r="D64" s="1"/>
      <c r="E64" s="28"/>
      <c r="F64" s="28"/>
      <c r="G64" s="28"/>
      <c r="H64" s="28"/>
      <c r="I64" s="28"/>
      <c r="J64" s="124"/>
      <c r="K64" s="28"/>
      <c r="L64" s="28"/>
      <c r="M64" s="28"/>
      <c r="N64" s="28"/>
      <c r="O64" s="28"/>
      <c r="P64" s="124"/>
      <c r="Q64" s="124"/>
      <c r="R64" s="124"/>
      <c r="S64" s="124"/>
      <c r="T64" s="1"/>
      <c r="U64" s="1"/>
    </row>
    <row r="65" ht="15.75" customHeight="1">
      <c r="A65" s="126" t="str">
        <f>Budget1!A66</f>
        <v>Cabinet</v>
      </c>
      <c r="B65" s="36">
        <f>Budget1!C66</f>
        <v>26000</v>
      </c>
      <c r="C65" s="123">
        <f t="shared" ref="C65:C75" si="9">sum(D65:T65)-B65</f>
        <v>-26000</v>
      </c>
      <c r="D65" s="1"/>
      <c r="E65" s="28"/>
      <c r="F65" s="28"/>
      <c r="G65" s="28"/>
      <c r="H65" s="28"/>
      <c r="I65" s="28"/>
      <c r="J65" s="124"/>
      <c r="K65" s="28"/>
      <c r="L65" s="28"/>
      <c r="M65" s="28"/>
      <c r="N65" s="28"/>
      <c r="O65" s="28"/>
      <c r="P65" s="124"/>
      <c r="Q65" s="124"/>
      <c r="R65" s="124"/>
      <c r="S65" s="124"/>
      <c r="T65" s="1"/>
      <c r="U65" s="1"/>
    </row>
    <row r="66" ht="15.75" customHeight="1">
      <c r="A66" s="126" t="str">
        <f>Budget1!A67</f>
        <v>Countertops</v>
      </c>
      <c r="B66" s="36">
        <f>Budget1!C67</f>
        <v>45000</v>
      </c>
      <c r="C66" s="123">
        <f t="shared" si="9"/>
        <v>-45000</v>
      </c>
      <c r="D66" s="1"/>
      <c r="E66" s="28"/>
      <c r="F66" s="28"/>
      <c r="G66" s="28"/>
      <c r="H66" s="28"/>
      <c r="I66" s="28"/>
      <c r="J66" s="124"/>
      <c r="K66" s="28"/>
      <c r="L66" s="28"/>
      <c r="M66" s="28"/>
      <c r="N66" s="28"/>
      <c r="O66" s="28"/>
      <c r="P66" s="124"/>
      <c r="Q66" s="124"/>
      <c r="R66" s="124"/>
      <c r="S66" s="124"/>
      <c r="T66" s="124"/>
      <c r="U66" s="1"/>
    </row>
    <row r="67" ht="15.75" customHeight="1">
      <c r="A67" s="126" t="str">
        <f>Budget1!A68</f>
        <v>Finish Carpentry</v>
      </c>
      <c r="B67" s="36">
        <f>Budget1!C68</f>
        <v>12000</v>
      </c>
      <c r="C67" s="123">
        <f t="shared" si="9"/>
        <v>-12000</v>
      </c>
      <c r="D67" s="1"/>
      <c r="E67" s="28"/>
      <c r="F67" s="28"/>
      <c r="G67" s="28"/>
      <c r="H67" s="28"/>
      <c r="I67" s="28"/>
      <c r="J67" s="124"/>
      <c r="K67" s="28"/>
      <c r="L67" s="28"/>
      <c r="M67" s="28"/>
      <c r="N67" s="28"/>
      <c r="O67" s="28"/>
      <c r="P67" s="124"/>
      <c r="Q67" s="124"/>
      <c r="R67" s="124"/>
      <c r="S67" s="124"/>
      <c r="T67" s="124"/>
      <c r="U67" s="1"/>
    </row>
    <row r="68" ht="15.75" customHeight="1">
      <c r="A68" s="126" t="str">
        <f>Budget1!A69</f>
        <v>Door</v>
      </c>
      <c r="B68" s="36">
        <f>Budget1!C69</f>
        <v>28500</v>
      </c>
      <c r="C68" s="123">
        <f t="shared" si="9"/>
        <v>-28500</v>
      </c>
      <c r="D68" s="1"/>
      <c r="E68" s="28"/>
      <c r="F68" s="28"/>
      <c r="G68" s="28"/>
      <c r="H68" s="28"/>
      <c r="I68" s="28"/>
      <c r="J68" s="124"/>
      <c r="K68" s="28"/>
      <c r="L68" s="28"/>
      <c r="M68" s="131"/>
      <c r="N68" s="28"/>
      <c r="O68" s="28"/>
      <c r="P68" s="124"/>
      <c r="Q68" s="124"/>
      <c r="R68" s="124"/>
      <c r="S68" s="124"/>
      <c r="T68" s="124"/>
      <c r="U68" s="1"/>
    </row>
    <row r="69" ht="15.75" customHeight="1">
      <c r="A69" s="126" t="str">
        <f>Budget1!A70</f>
        <v> Base&amp;Case</v>
      </c>
      <c r="B69" s="36">
        <f>Budget1!C70</f>
        <v>5000</v>
      </c>
      <c r="C69" s="123">
        <f t="shared" si="9"/>
        <v>-5000</v>
      </c>
      <c r="D69" s="1"/>
      <c r="E69" s="28"/>
      <c r="F69" s="28"/>
      <c r="G69" s="28"/>
      <c r="H69" s="28"/>
      <c r="I69" s="28"/>
      <c r="J69" s="124"/>
      <c r="K69" s="28"/>
      <c r="L69" s="28"/>
      <c r="M69" s="28"/>
      <c r="N69" s="28"/>
      <c r="O69" s="28"/>
      <c r="P69" s="124"/>
      <c r="Q69" s="124"/>
      <c r="R69" s="124"/>
      <c r="S69" s="124"/>
      <c r="T69" s="124"/>
      <c r="U69" s="1"/>
    </row>
    <row r="70" ht="15.75" customHeight="1">
      <c r="A70" s="126" t="str">
        <f>Budget1!A71</f>
        <v>Door &amp; Bath Hardware</v>
      </c>
      <c r="B70" s="36">
        <f>Budget1!C71</f>
        <v>5000</v>
      </c>
      <c r="C70" s="123">
        <f t="shared" si="9"/>
        <v>-5000</v>
      </c>
      <c r="D70" s="119"/>
      <c r="E70" s="28"/>
      <c r="F70" s="31"/>
      <c r="G70" s="31"/>
      <c r="H70" s="31"/>
      <c r="I70" s="31"/>
      <c r="J70" s="121"/>
      <c r="K70" s="31"/>
      <c r="L70" s="31"/>
      <c r="M70" s="31"/>
      <c r="N70" s="31"/>
      <c r="O70" s="31"/>
      <c r="P70" s="121"/>
      <c r="Q70" s="121"/>
      <c r="R70" s="121"/>
      <c r="S70" s="121"/>
      <c r="T70" s="119"/>
      <c r="U70" s="119"/>
      <c r="V70" s="2"/>
      <c r="W70" s="2"/>
      <c r="X70" s="2"/>
      <c r="Y70" s="2"/>
      <c r="Z70" s="2"/>
      <c r="AA70" s="2"/>
      <c r="AB70" s="2"/>
    </row>
    <row r="71" ht="15.75" customHeight="1">
      <c r="A71" s="126" t="str">
        <f>Budget1!A72</f>
        <v>Entry Stair</v>
      </c>
      <c r="B71" s="36">
        <f>Budget1!C72</f>
        <v>17000</v>
      </c>
      <c r="C71" s="123">
        <f t="shared" si="9"/>
        <v>-17000</v>
      </c>
      <c r="D71" s="1"/>
      <c r="E71" s="28"/>
      <c r="F71" s="28"/>
      <c r="G71" s="28"/>
      <c r="H71" s="28"/>
      <c r="I71" s="28"/>
      <c r="J71" s="124"/>
      <c r="K71" s="28"/>
      <c r="L71" s="28"/>
      <c r="M71" s="28"/>
      <c r="N71" s="28"/>
      <c r="O71" s="28"/>
      <c r="P71" s="124"/>
      <c r="Q71" s="124"/>
      <c r="R71" s="124"/>
      <c r="S71" s="124"/>
      <c r="T71" s="1"/>
      <c r="U71" s="1"/>
    </row>
    <row r="72" ht="15.75" customHeight="1">
      <c r="A72" s="126" t="str">
        <f>Budget1!A73</f>
        <v>Wood Stair</v>
      </c>
      <c r="B72" s="36">
        <f>Budget1!C73</f>
        <v>5000</v>
      </c>
      <c r="C72" s="123">
        <f t="shared" si="9"/>
        <v>-5000</v>
      </c>
      <c r="D72" s="1"/>
      <c r="E72" s="28"/>
      <c r="F72" s="28"/>
      <c r="G72" s="28"/>
      <c r="H72" s="28"/>
      <c r="I72" s="28"/>
      <c r="J72" s="124"/>
      <c r="K72" s="28"/>
      <c r="L72" s="28"/>
      <c r="M72" s="28"/>
      <c r="N72" s="28"/>
      <c r="O72" s="28"/>
      <c r="P72" s="124"/>
      <c r="Q72" s="124"/>
      <c r="R72" s="124"/>
      <c r="S72" s="124"/>
      <c r="T72" s="1"/>
      <c r="U72" s="1"/>
    </row>
    <row r="73" ht="15.75" customHeight="1">
      <c r="A73" s="126" t="str">
        <f>Budget1!A74</f>
        <v>Stair Labor</v>
      </c>
      <c r="B73" s="36">
        <f>Budget1!C74</f>
        <v>10000</v>
      </c>
      <c r="C73" s="123">
        <f t="shared" si="9"/>
        <v>-10000</v>
      </c>
      <c r="D73" s="1"/>
      <c r="E73" s="28"/>
      <c r="F73" s="28"/>
      <c r="G73" s="28"/>
      <c r="H73" s="28"/>
      <c r="I73" s="28"/>
      <c r="J73" s="124"/>
      <c r="K73" s="28"/>
      <c r="L73" s="28"/>
      <c r="M73" s="28"/>
      <c r="N73" s="28"/>
      <c r="O73" s="28"/>
      <c r="P73" s="124"/>
      <c r="Q73" s="124"/>
      <c r="R73" s="124"/>
      <c r="S73" s="124"/>
      <c r="T73" s="1"/>
      <c r="U73" s="1"/>
    </row>
    <row r="74" ht="15.75" customHeight="1">
      <c r="A74" s="126" t="str">
        <f>Budget1!A75</f>
        <v>Vault Door</v>
      </c>
      <c r="B74" s="36">
        <f>Budget1!C75</f>
        <v>7500</v>
      </c>
      <c r="C74" s="123">
        <f t="shared" si="9"/>
        <v>-7500</v>
      </c>
      <c r="D74" s="1"/>
      <c r="E74" s="28"/>
      <c r="F74" s="28"/>
      <c r="G74" s="28"/>
      <c r="H74" s="28"/>
      <c r="I74" s="28"/>
      <c r="J74" s="124"/>
      <c r="K74" s="28"/>
      <c r="L74" s="28"/>
      <c r="M74" s="28"/>
      <c r="N74" s="28"/>
      <c r="O74" s="28"/>
      <c r="P74" s="124"/>
      <c r="Q74" s="124"/>
      <c r="R74" s="124"/>
      <c r="S74" s="124"/>
      <c r="T74" s="1"/>
      <c r="U74" s="1"/>
    </row>
    <row r="75" ht="15.75" customHeight="1">
      <c r="A75" s="126" t="str">
        <f>Budget1!A76</f>
        <v>Hidden Door</v>
      </c>
      <c r="B75" s="36">
        <f>Budget1!C76</f>
        <v>25000</v>
      </c>
      <c r="C75" s="123">
        <f t="shared" si="9"/>
        <v>-25000</v>
      </c>
      <c r="D75" s="1"/>
      <c r="E75" s="28"/>
      <c r="F75" s="28"/>
      <c r="G75" s="28"/>
      <c r="H75" s="28"/>
      <c r="I75" s="28"/>
      <c r="J75" s="124"/>
      <c r="K75" s="28"/>
      <c r="L75" s="28"/>
      <c r="M75" s="28"/>
      <c r="N75" s="28"/>
      <c r="O75" s="28"/>
      <c r="P75" s="124"/>
      <c r="Q75" s="124"/>
      <c r="R75" s="124"/>
      <c r="S75" s="124"/>
      <c r="T75" s="124"/>
      <c r="U75" s="1"/>
    </row>
    <row r="76" ht="15.75" customHeight="1">
      <c r="A76" s="117" t="str">
        <f>Budget1!A77</f>
        <v>Equipment/ Finishes</v>
      </c>
      <c r="B76" s="36" t="str">
        <f>Budget1!C77</f>
        <v/>
      </c>
      <c r="C76" s="1"/>
      <c r="D76" s="1"/>
      <c r="E76" s="28"/>
      <c r="F76" s="28"/>
      <c r="G76" s="28"/>
      <c r="H76" s="28"/>
      <c r="I76" s="28"/>
      <c r="J76" s="124"/>
      <c r="K76" s="28"/>
      <c r="L76" s="28"/>
      <c r="M76" s="28"/>
      <c r="N76" s="28"/>
      <c r="O76" s="28"/>
      <c r="P76" s="124"/>
      <c r="Q76" s="124"/>
      <c r="R76" s="124"/>
      <c r="S76" s="124"/>
      <c r="T76" s="1"/>
      <c r="U76" s="1"/>
    </row>
    <row r="77" ht="15.75" customHeight="1">
      <c r="A77" s="126" t="str">
        <f>Budget1!A78</f>
        <v>HVAC/ERV</v>
      </c>
      <c r="B77" s="36">
        <f>Budget1!C78</f>
        <v>21500</v>
      </c>
      <c r="C77" s="123">
        <f t="shared" ref="C77:C86" si="10">sum(D77:T77)-B77</f>
        <v>-21500</v>
      </c>
      <c r="D77" s="1"/>
      <c r="E77" s="28"/>
      <c r="F77" s="28"/>
      <c r="G77" s="28"/>
      <c r="H77" s="28"/>
      <c r="I77" s="28"/>
      <c r="J77" s="124"/>
      <c r="K77" s="28"/>
      <c r="L77" s="28"/>
      <c r="M77" s="28"/>
      <c r="N77" s="28"/>
      <c r="O77" s="28"/>
      <c r="P77" s="124"/>
      <c r="Q77" s="124"/>
      <c r="R77" s="124"/>
      <c r="S77" s="28"/>
      <c r="T77" s="28"/>
      <c r="U77" s="1"/>
    </row>
    <row r="78" ht="15.75" customHeight="1">
      <c r="A78" s="126" t="str">
        <f>Budget1!A79</f>
        <v>Plumbing/Gas</v>
      </c>
      <c r="B78" s="36">
        <f>Budget1!C79</f>
        <v>32000</v>
      </c>
      <c r="C78" s="123">
        <f t="shared" si="10"/>
        <v>-32000</v>
      </c>
      <c r="D78" s="1"/>
      <c r="E78" s="28"/>
      <c r="F78" s="28"/>
      <c r="G78" s="28"/>
      <c r="H78" s="28"/>
      <c r="I78" s="28"/>
      <c r="J78" s="124"/>
      <c r="K78" s="28"/>
      <c r="L78" s="28"/>
      <c r="M78" s="28"/>
      <c r="N78" s="28"/>
      <c r="O78" s="28"/>
      <c r="P78" s="124"/>
      <c r="Q78" s="124"/>
      <c r="R78" s="124"/>
      <c r="S78" s="124"/>
      <c r="T78" s="1"/>
      <c r="U78" s="1"/>
    </row>
    <row r="79" ht="15.75" customHeight="1">
      <c r="A79" s="126" t="str">
        <f>Budget1!A80</f>
        <v>Electrical</v>
      </c>
      <c r="B79" s="36">
        <f>Budget1!C80</f>
        <v>45000</v>
      </c>
      <c r="C79" s="123">
        <f t="shared" si="10"/>
        <v>-45000</v>
      </c>
      <c r="D79" s="1"/>
      <c r="E79" s="28"/>
      <c r="F79" s="28"/>
      <c r="G79" s="31"/>
      <c r="H79" s="31"/>
      <c r="I79" s="31"/>
      <c r="J79" s="121"/>
      <c r="K79" s="31"/>
      <c r="L79" s="31"/>
      <c r="M79" s="31"/>
      <c r="N79" s="31"/>
      <c r="O79" s="31"/>
      <c r="P79" s="121"/>
      <c r="Q79" s="121"/>
      <c r="R79" s="124"/>
      <c r="S79" s="121"/>
      <c r="T79" s="119"/>
      <c r="U79" s="119"/>
      <c r="V79" s="2"/>
      <c r="W79" s="2"/>
      <c r="X79" s="2"/>
      <c r="Y79" s="2"/>
      <c r="Z79" s="2"/>
      <c r="AA79" s="2"/>
      <c r="AB79" s="2"/>
    </row>
    <row r="80" ht="15.75" customHeight="1">
      <c r="A80" s="126" t="str">
        <f>Budget1!A81</f>
        <v>AV</v>
      </c>
      <c r="B80" s="36">
        <f>Budget1!C81</f>
        <v>80000</v>
      </c>
      <c r="C80" s="123">
        <f t="shared" si="10"/>
        <v>-80000</v>
      </c>
      <c r="D80" s="1"/>
      <c r="E80" s="28"/>
      <c r="F80" s="28"/>
      <c r="G80" s="31"/>
      <c r="H80" s="31"/>
      <c r="I80" s="31"/>
      <c r="J80" s="121"/>
      <c r="K80" s="31"/>
      <c r="L80" s="31"/>
      <c r="M80" s="31"/>
      <c r="N80" s="31"/>
      <c r="O80" s="31"/>
      <c r="P80" s="121"/>
      <c r="Q80" s="121"/>
      <c r="R80" s="121"/>
      <c r="S80" s="121"/>
      <c r="T80" s="119"/>
      <c r="U80" s="119"/>
      <c r="V80" s="2"/>
      <c r="W80" s="2"/>
      <c r="X80" s="2"/>
      <c r="Y80" s="2"/>
      <c r="Z80" s="2"/>
      <c r="AA80" s="2"/>
      <c r="AB80" s="2"/>
    </row>
    <row r="81" ht="15.75" customHeight="1">
      <c r="A81" s="126" t="str">
        <f>Budget1!A82</f>
        <v>Range</v>
      </c>
      <c r="B81" s="36">
        <f>Budget1!C82</f>
        <v>95000</v>
      </c>
      <c r="C81" s="123">
        <f t="shared" si="10"/>
        <v>-95000</v>
      </c>
      <c r="D81" s="119"/>
      <c r="E81" s="28"/>
      <c r="F81" s="31"/>
      <c r="G81" s="31"/>
      <c r="H81" s="31"/>
      <c r="I81" s="31"/>
      <c r="J81" s="121"/>
      <c r="K81" s="31"/>
      <c r="L81" s="31"/>
      <c r="M81" s="31"/>
      <c r="N81" s="31"/>
      <c r="O81" s="31"/>
      <c r="P81" s="121"/>
      <c r="Q81" s="121"/>
      <c r="R81" s="121"/>
      <c r="S81" s="121"/>
      <c r="T81" s="119"/>
      <c r="U81" s="119"/>
      <c r="V81" s="2"/>
      <c r="W81" s="2"/>
      <c r="X81" s="2"/>
      <c r="Y81" s="2"/>
      <c r="Z81" s="2"/>
      <c r="AA81" s="2"/>
      <c r="AB81" s="2"/>
    </row>
    <row r="82" ht="15.75" customHeight="1">
      <c r="A82" s="126" t="str">
        <f>Budget1!A83</f>
        <v>Appliance</v>
      </c>
      <c r="B82" s="36">
        <f>Budget1!C83</f>
        <v>48000</v>
      </c>
      <c r="C82" s="123">
        <f t="shared" si="10"/>
        <v>-48000</v>
      </c>
      <c r="D82" s="1"/>
      <c r="E82" s="28"/>
      <c r="F82" s="28"/>
      <c r="G82" s="28"/>
      <c r="H82" s="28"/>
      <c r="I82" s="28"/>
      <c r="J82" s="124"/>
      <c r="K82" s="28"/>
      <c r="L82" s="28"/>
      <c r="M82" s="28"/>
      <c r="N82" s="28"/>
      <c r="O82" s="28"/>
      <c r="P82" s="124"/>
      <c r="Q82" s="124"/>
      <c r="R82" s="124"/>
      <c r="S82" s="124"/>
      <c r="T82" s="1"/>
      <c r="U82" s="1"/>
    </row>
    <row r="83" ht="15.75" customHeight="1">
      <c r="A83" s="126" t="str">
        <f>Budget1!A84</f>
        <v>Glass</v>
      </c>
      <c r="B83" s="36">
        <f>Budget1!C84</f>
        <v>7500</v>
      </c>
      <c r="C83" s="123">
        <f t="shared" si="10"/>
        <v>-7500</v>
      </c>
      <c r="D83" s="1"/>
      <c r="E83" s="28"/>
      <c r="F83" s="28"/>
      <c r="G83" s="28"/>
      <c r="H83" s="28"/>
      <c r="I83" s="28"/>
      <c r="J83" s="124"/>
      <c r="K83" s="124"/>
      <c r="L83" s="124"/>
      <c r="M83" s="124"/>
      <c r="N83" s="28"/>
      <c r="O83" s="28"/>
      <c r="P83" s="124"/>
      <c r="Q83" s="124"/>
      <c r="R83" s="124"/>
      <c r="S83" s="124"/>
      <c r="T83" s="1"/>
      <c r="U83" s="1"/>
    </row>
    <row r="84" ht="15.75" customHeight="1">
      <c r="A84" s="126" t="str">
        <f>Budget1!A85</f>
        <v>Railing</v>
      </c>
      <c r="B84" s="36">
        <f>Budget1!C85</f>
        <v>46000</v>
      </c>
      <c r="C84" s="123">
        <f t="shared" si="10"/>
        <v>-46000</v>
      </c>
      <c r="D84" s="119"/>
      <c r="E84" s="28"/>
      <c r="F84" s="31"/>
      <c r="G84" s="31"/>
      <c r="H84" s="31"/>
      <c r="I84" s="31"/>
      <c r="J84" s="121"/>
      <c r="K84" s="31"/>
      <c r="L84" s="31"/>
      <c r="M84" s="31"/>
      <c r="N84" s="31"/>
      <c r="O84" s="31"/>
      <c r="P84" s="121"/>
      <c r="Q84" s="121"/>
      <c r="R84" s="121"/>
      <c r="S84" s="121"/>
      <c r="T84" s="119"/>
      <c r="U84" s="119"/>
      <c r="V84" s="2"/>
      <c r="W84" s="2"/>
      <c r="X84" s="2"/>
      <c r="Y84" s="2"/>
      <c r="Z84" s="2"/>
      <c r="AA84" s="2"/>
      <c r="AB84" s="2"/>
    </row>
    <row r="85" ht="15.75" customHeight="1">
      <c r="A85" s="126" t="str">
        <f>Budget1!A86</f>
        <v>Outdoor</v>
      </c>
      <c r="B85" s="36">
        <f>Budget1!C86</f>
        <v>60000</v>
      </c>
      <c r="C85" s="123">
        <f t="shared" si="10"/>
        <v>-60000</v>
      </c>
      <c r="D85" s="1"/>
      <c r="E85" s="28"/>
      <c r="F85" s="28"/>
      <c r="G85" s="28"/>
      <c r="H85" s="28"/>
      <c r="I85" s="28"/>
      <c r="J85" s="124"/>
      <c r="K85" s="28"/>
      <c r="L85" s="28"/>
      <c r="M85" s="28"/>
      <c r="N85" s="28"/>
      <c r="O85" s="28"/>
      <c r="P85" s="124"/>
      <c r="Q85" s="124"/>
      <c r="R85" s="124"/>
      <c r="S85" s="124"/>
      <c r="T85" s="124"/>
      <c r="U85" s="1"/>
    </row>
    <row r="86" ht="15.75" customHeight="1">
      <c r="A86" s="126" t="str">
        <f>Budget1!A87</f>
        <v>Cleaning</v>
      </c>
      <c r="B86" s="36">
        <f>Budget1!C87</f>
        <v>5000</v>
      </c>
      <c r="C86" s="123">
        <f t="shared" si="10"/>
        <v>-5000</v>
      </c>
      <c r="D86" s="1"/>
      <c r="E86" s="28"/>
      <c r="F86" s="28"/>
      <c r="G86" s="28"/>
      <c r="H86" s="28"/>
      <c r="I86" s="28"/>
      <c r="J86" s="124"/>
      <c r="K86" s="28"/>
      <c r="L86" s="28"/>
      <c r="M86" s="28"/>
      <c r="N86" s="28"/>
      <c r="O86" s="28"/>
      <c r="P86" s="124"/>
      <c r="Q86" s="124"/>
      <c r="R86" s="124"/>
      <c r="S86" s="124"/>
      <c r="T86" s="1"/>
      <c r="U86" s="1"/>
    </row>
    <row r="87" ht="15.75" customHeight="1">
      <c r="A87" s="117" t="str">
        <f>Budget1!A88</f>
        <v>Landscape </v>
      </c>
      <c r="B87" s="36" t="str">
        <f>Budget1!C88</f>
        <v/>
      </c>
      <c r="C87" s="1"/>
      <c r="D87" s="1"/>
      <c r="E87" s="28"/>
      <c r="F87" s="28"/>
      <c r="G87" s="28"/>
      <c r="H87" s="28"/>
      <c r="I87" s="28"/>
      <c r="J87" s="124"/>
      <c r="K87" s="28"/>
      <c r="L87" s="28"/>
      <c r="M87" s="28"/>
      <c r="N87" s="28"/>
      <c r="O87" s="28"/>
      <c r="P87" s="124"/>
      <c r="Q87" s="124"/>
      <c r="R87" s="124"/>
      <c r="S87" s="124"/>
      <c r="T87" s="1"/>
      <c r="U87" s="1"/>
    </row>
    <row r="88" ht="15.75" customHeight="1">
      <c r="A88" s="126" t="str">
        <f>Budget1!A89</f>
        <v>Solar</v>
      </c>
      <c r="B88" s="36">
        <f>Budget1!C89</f>
        <v>25000</v>
      </c>
      <c r="C88" s="123">
        <f t="shared" ref="C88:C91" si="11">sum(D88:T88)-B88</f>
        <v>-25000</v>
      </c>
      <c r="D88" s="1"/>
      <c r="E88" s="28"/>
      <c r="F88" s="28"/>
      <c r="G88" s="28"/>
      <c r="H88" s="28"/>
      <c r="I88" s="28"/>
      <c r="J88" s="124"/>
      <c r="K88" s="28"/>
      <c r="L88" s="28"/>
      <c r="M88" s="28"/>
      <c r="N88" s="28"/>
      <c r="O88" s="28"/>
      <c r="P88" s="124"/>
      <c r="Q88" s="124"/>
      <c r="R88" s="124"/>
      <c r="S88" s="124"/>
      <c r="T88" s="1"/>
      <c r="U88" s="1"/>
    </row>
    <row r="89" ht="15.75" customHeight="1">
      <c r="A89" s="126" t="str">
        <f>Budget1!A90</f>
        <v>Landscape </v>
      </c>
      <c r="B89" s="36" t="str">
        <f>Budget1!C90</f>
        <v/>
      </c>
      <c r="C89" s="123">
        <f t="shared" si="11"/>
        <v>0</v>
      </c>
      <c r="D89" s="1"/>
      <c r="E89" s="28"/>
      <c r="F89" s="28"/>
      <c r="G89" s="28"/>
      <c r="H89" s="28"/>
      <c r="I89" s="28"/>
      <c r="J89" s="124"/>
      <c r="K89" s="28"/>
      <c r="L89" s="28"/>
      <c r="M89" s="28"/>
      <c r="N89" s="28"/>
      <c r="O89" s="28"/>
      <c r="P89" s="124"/>
      <c r="Q89" s="124"/>
      <c r="R89" s="124"/>
      <c r="S89" s="124"/>
      <c r="T89" s="1"/>
      <c r="U89" s="1"/>
    </row>
    <row r="90" ht="15.75" customHeight="1">
      <c r="A90" s="126" t="str">
        <f>Budget1!A91</f>
        <v>Pavers</v>
      </c>
      <c r="B90" s="36">
        <f>Budget1!C91</f>
        <v>28000</v>
      </c>
      <c r="C90" s="123">
        <f t="shared" si="11"/>
        <v>-28000</v>
      </c>
      <c r="D90" s="1"/>
      <c r="E90" s="28"/>
      <c r="F90" s="1"/>
      <c r="G90" s="28"/>
      <c r="H90" s="28"/>
      <c r="I90" s="28"/>
      <c r="J90" s="124"/>
      <c r="K90" s="28"/>
      <c r="L90" s="28"/>
      <c r="M90" s="28"/>
      <c r="N90" s="28"/>
      <c r="O90" s="28"/>
      <c r="P90" s="124"/>
      <c r="Q90" s="133"/>
      <c r="R90" s="133"/>
      <c r="S90" s="133"/>
      <c r="T90" s="133"/>
      <c r="U90" s="1"/>
    </row>
    <row r="91" ht="15.75" customHeight="1">
      <c r="A91" s="117"/>
      <c r="B91" s="36" t="str">
        <f>Budget1!C92</f>
        <v/>
      </c>
      <c r="C91" s="123">
        <f t="shared" si="11"/>
        <v>0</v>
      </c>
      <c r="D91" s="1"/>
      <c r="E91" s="28"/>
      <c r="F91" s="28"/>
      <c r="G91" s="28"/>
      <c r="H91" s="28"/>
      <c r="I91" s="28"/>
      <c r="J91" s="124"/>
      <c r="K91" s="28"/>
      <c r="L91" s="28"/>
      <c r="M91" s="28"/>
      <c r="N91" s="28"/>
      <c r="O91" s="28"/>
      <c r="P91" s="124"/>
      <c r="Q91" s="124"/>
      <c r="R91" s="124"/>
      <c r="S91" s="124"/>
      <c r="T91" s="1"/>
      <c r="U91" s="1"/>
    </row>
    <row r="92" ht="15.75" customHeight="1">
      <c r="A92" s="117" t="str">
        <f>Budget1!A93</f>
        <v>Options</v>
      </c>
      <c r="B92" s="36" t="str">
        <f>Budget1!C93</f>
        <v/>
      </c>
      <c r="C92" s="1"/>
      <c r="D92" s="1"/>
      <c r="E92" s="28"/>
      <c r="F92" s="28"/>
      <c r="G92" s="28"/>
      <c r="H92" s="28"/>
      <c r="I92" s="28"/>
      <c r="J92" s="124"/>
      <c r="K92" s="28"/>
      <c r="L92" s="28"/>
      <c r="M92" s="28"/>
      <c r="N92" s="28"/>
      <c r="O92" s="28"/>
      <c r="P92" s="124"/>
      <c r="Q92" s="124"/>
      <c r="R92" s="124"/>
      <c r="S92" s="124"/>
      <c r="T92" s="1"/>
      <c r="U92" s="1"/>
    </row>
    <row r="93" ht="15.75" customHeight="1">
      <c r="A93" s="117" t="str">
        <f>Budget1!A94</f>
        <v>Steam</v>
      </c>
      <c r="B93" s="36" t="str">
        <f>Budget1!C94</f>
        <v/>
      </c>
      <c r="E93" s="19"/>
      <c r="F93" s="19"/>
      <c r="G93" s="19"/>
      <c r="H93" s="19"/>
      <c r="I93" s="19"/>
      <c r="J93" s="118"/>
      <c r="K93" s="19"/>
      <c r="L93" s="19"/>
      <c r="M93" s="19"/>
      <c r="N93" s="19"/>
      <c r="O93" s="19"/>
      <c r="P93" s="118"/>
      <c r="Q93" s="118"/>
      <c r="R93" s="118"/>
      <c r="S93" s="118"/>
    </row>
    <row r="94" ht="15.75" customHeight="1">
      <c r="A94" s="117" t="str">
        <f>Budget1!A95</f>
        <v>Floor Heat</v>
      </c>
      <c r="B94" s="36" t="str">
        <f>Budget1!C95</f>
        <v/>
      </c>
      <c r="E94" s="19"/>
      <c r="F94" s="19"/>
      <c r="G94" s="19"/>
      <c r="H94" s="19"/>
      <c r="I94" s="19"/>
      <c r="J94" s="118"/>
      <c r="K94" s="19"/>
      <c r="L94" s="19"/>
      <c r="M94" s="19"/>
      <c r="N94" s="19"/>
      <c r="O94" s="19"/>
      <c r="P94" s="118"/>
      <c r="Q94" s="118"/>
      <c r="R94" s="118"/>
      <c r="S94" s="118"/>
    </row>
    <row r="95" ht="15.75" customHeight="1">
      <c r="A95" s="117" t="str">
        <f>Budget1!A96</f>
        <v/>
      </c>
      <c r="D95" s="3" t="str">
        <f>Budget1!D114</f>
        <v/>
      </c>
      <c r="E95" s="19"/>
      <c r="F95" s="19"/>
      <c r="G95" s="19"/>
      <c r="H95" s="19"/>
      <c r="I95" s="19"/>
      <c r="J95" s="118"/>
      <c r="K95" s="19"/>
      <c r="L95" s="19"/>
      <c r="M95" s="19"/>
      <c r="N95" s="19"/>
      <c r="O95" s="19"/>
      <c r="P95" s="118"/>
      <c r="Q95" s="118"/>
      <c r="R95" s="118"/>
      <c r="S95" s="118"/>
    </row>
    <row r="96" ht="15.75" customHeight="1">
      <c r="A96" s="117" t="str">
        <f>Budget1!A97</f>
        <v/>
      </c>
      <c r="D96" s="3" t="str">
        <f>Budget1!D115</f>
        <v/>
      </c>
      <c r="E96" s="19"/>
      <c r="F96" s="19"/>
      <c r="G96" s="19"/>
      <c r="H96" s="19"/>
      <c r="I96" s="19"/>
      <c r="J96" s="118"/>
      <c r="K96" s="19"/>
      <c r="L96" s="19"/>
      <c r="M96" s="19"/>
      <c r="N96" s="19"/>
      <c r="O96" s="19"/>
      <c r="P96" s="118"/>
      <c r="Q96" s="118"/>
      <c r="R96" s="118"/>
      <c r="S96" s="118"/>
    </row>
    <row r="97" ht="15.75" customHeight="1">
      <c r="A97" s="117" t="str">
        <f>Budget1!A98</f>
        <v/>
      </c>
      <c r="D97" s="3" t="str">
        <f>Budget1!D116</f>
        <v/>
      </c>
      <c r="E97" s="19"/>
      <c r="F97" s="19"/>
      <c r="G97" s="19"/>
      <c r="H97" s="19"/>
      <c r="I97" s="19"/>
      <c r="J97" s="118"/>
      <c r="K97" s="19"/>
      <c r="L97" s="19"/>
      <c r="M97" s="19"/>
      <c r="N97" s="19"/>
      <c r="O97" s="19"/>
      <c r="P97" s="118"/>
      <c r="Q97" s="118"/>
      <c r="R97" s="118"/>
      <c r="S97" s="118"/>
    </row>
    <row r="98" ht="15.75" customHeight="1">
      <c r="A98" s="117" t="str">
        <f>Budget1!A99</f>
        <v/>
      </c>
      <c r="E98" s="19"/>
      <c r="F98" s="19"/>
      <c r="G98" s="19"/>
      <c r="H98" s="19"/>
      <c r="I98" s="19"/>
      <c r="J98" s="118"/>
      <c r="K98" s="19"/>
      <c r="L98" s="19"/>
      <c r="M98" s="19"/>
      <c r="N98" s="19"/>
      <c r="O98" s="19"/>
      <c r="P98" s="118"/>
      <c r="Q98" s="118"/>
      <c r="R98" s="118"/>
      <c r="S98" s="118"/>
    </row>
    <row r="99" ht="15.75" customHeight="1">
      <c r="A99" s="117" t="str">
        <f>Budget1!A100</f>
        <v/>
      </c>
      <c r="E99" s="19"/>
      <c r="F99" s="19"/>
      <c r="G99" s="19"/>
      <c r="H99" s="19"/>
      <c r="I99" s="19"/>
      <c r="J99" s="118"/>
      <c r="K99" s="19"/>
      <c r="L99" s="19"/>
      <c r="M99" s="19"/>
      <c r="N99" s="19"/>
      <c r="O99" s="19"/>
      <c r="P99" s="118"/>
      <c r="Q99" s="118"/>
      <c r="R99" s="118"/>
      <c r="S99" s="118"/>
    </row>
    <row r="100" ht="15.75" customHeight="1">
      <c r="A100" s="117" t="str">
        <f>Budget1!A101</f>
        <v/>
      </c>
      <c r="E100" s="19"/>
      <c r="F100" s="19"/>
      <c r="G100" s="19"/>
      <c r="H100" s="19"/>
      <c r="I100" s="19"/>
      <c r="J100" s="118"/>
      <c r="K100" s="19"/>
      <c r="L100" s="19"/>
      <c r="M100" s="19"/>
      <c r="N100" s="19"/>
      <c r="O100" s="19"/>
      <c r="P100" s="118"/>
      <c r="Q100" s="118"/>
      <c r="R100" s="118"/>
      <c r="S100" s="118"/>
    </row>
    <row r="101" ht="15.75" customHeight="1">
      <c r="A101" s="117" t="str">
        <f>Budget1!A102</f>
        <v/>
      </c>
      <c r="E101" s="19"/>
      <c r="F101" s="19"/>
      <c r="G101" s="19"/>
      <c r="H101" s="19"/>
      <c r="I101" s="19"/>
      <c r="J101" s="118"/>
      <c r="K101" s="19"/>
      <c r="L101" s="19"/>
      <c r="M101" s="19"/>
      <c r="N101" s="19"/>
      <c r="O101" s="19"/>
      <c r="P101" s="118"/>
      <c r="Q101" s="118"/>
      <c r="R101" s="118"/>
      <c r="S101" s="118"/>
    </row>
    <row r="102" ht="15.75" customHeight="1">
      <c r="A102" s="117" t="str">
        <f>Budget1!A103</f>
        <v/>
      </c>
      <c r="E102" s="19"/>
      <c r="F102" s="19"/>
      <c r="G102" s="19"/>
      <c r="H102" s="19"/>
      <c r="I102" s="19"/>
      <c r="J102" s="118"/>
      <c r="K102" s="19"/>
      <c r="L102" s="19"/>
      <c r="M102" s="19"/>
      <c r="N102" s="19"/>
      <c r="O102" s="19"/>
      <c r="P102" s="118"/>
      <c r="Q102" s="118"/>
      <c r="R102" s="118"/>
      <c r="S102" s="118"/>
    </row>
    <row r="103" ht="15.75" customHeight="1">
      <c r="A103" s="117" t="str">
        <f>Budget1!A104</f>
        <v/>
      </c>
      <c r="E103" s="19"/>
      <c r="F103" s="19"/>
      <c r="G103" s="19"/>
      <c r="H103" s="19"/>
      <c r="I103" s="19"/>
      <c r="J103" s="118"/>
      <c r="K103" s="19"/>
      <c r="L103" s="19"/>
      <c r="M103" s="19"/>
      <c r="N103" s="19"/>
      <c r="O103" s="19"/>
      <c r="P103" s="118"/>
      <c r="Q103" s="118"/>
      <c r="R103" s="118"/>
      <c r="S103" s="118"/>
    </row>
    <row r="104" ht="15.75" customHeight="1">
      <c r="A104" s="117" t="str">
        <f>Budget1!A105</f>
        <v/>
      </c>
      <c r="E104" s="19"/>
      <c r="F104" s="19"/>
      <c r="G104" s="19"/>
      <c r="H104" s="19"/>
      <c r="I104" s="19"/>
      <c r="J104" s="118"/>
      <c r="K104" s="19"/>
      <c r="L104" s="19"/>
      <c r="M104" s="19"/>
      <c r="N104" s="19"/>
      <c r="O104" s="19"/>
      <c r="P104" s="118"/>
      <c r="Q104" s="118"/>
      <c r="R104" s="118"/>
      <c r="S104" s="118"/>
    </row>
    <row r="105" ht="15.75" customHeight="1">
      <c r="A105" s="117" t="str">
        <f>Budget1!A106</f>
        <v/>
      </c>
      <c r="E105" s="19"/>
      <c r="F105" s="19"/>
      <c r="G105" s="19"/>
      <c r="H105" s="19"/>
      <c r="I105" s="19"/>
      <c r="J105" s="118"/>
      <c r="K105" s="19"/>
      <c r="L105" s="19"/>
      <c r="M105" s="19"/>
      <c r="N105" s="19"/>
      <c r="O105" s="19"/>
      <c r="P105" s="118"/>
      <c r="Q105" s="118"/>
      <c r="R105" s="118"/>
      <c r="S105" s="118"/>
    </row>
    <row r="106" ht="15.75" customHeight="1">
      <c r="A106" s="117" t="str">
        <f>Budget1!A107</f>
        <v/>
      </c>
      <c r="E106" s="19"/>
      <c r="F106" s="19"/>
      <c r="G106" s="19"/>
      <c r="H106" s="19"/>
      <c r="I106" s="19"/>
      <c r="J106" s="118"/>
      <c r="K106" s="19"/>
      <c r="L106" s="19"/>
      <c r="M106" s="19"/>
      <c r="N106" s="19"/>
      <c r="O106" s="19"/>
      <c r="P106" s="118"/>
      <c r="Q106" s="118"/>
      <c r="R106" s="118"/>
      <c r="S106" s="118"/>
    </row>
    <row r="107" ht="15.75" customHeight="1">
      <c r="A107" s="117" t="str">
        <f>Budget1!A108</f>
        <v/>
      </c>
      <c r="E107" s="19"/>
      <c r="F107" s="19"/>
      <c r="G107" s="19"/>
      <c r="H107" s="19"/>
      <c r="I107" s="19"/>
      <c r="J107" s="118"/>
      <c r="K107" s="19"/>
      <c r="L107" s="19"/>
      <c r="M107" s="19"/>
      <c r="N107" s="19"/>
      <c r="O107" s="19"/>
      <c r="P107" s="118"/>
      <c r="Q107" s="118"/>
      <c r="R107" s="118"/>
      <c r="S107" s="118"/>
    </row>
    <row r="108" ht="15.75" customHeight="1">
      <c r="A108" s="117" t="str">
        <f>Budget1!A109</f>
        <v/>
      </c>
      <c r="E108" s="19"/>
      <c r="F108" s="19"/>
      <c r="G108" s="19"/>
      <c r="H108" s="19"/>
      <c r="I108" s="19"/>
      <c r="J108" s="118"/>
      <c r="K108" s="19"/>
      <c r="L108" s="19"/>
      <c r="M108" s="19"/>
      <c r="N108" s="19"/>
      <c r="O108" s="19"/>
      <c r="P108" s="118"/>
      <c r="Q108" s="118"/>
      <c r="R108" s="118"/>
      <c r="S108" s="118"/>
    </row>
    <row r="109" ht="15.75" customHeight="1">
      <c r="A109" s="117" t="str">
        <f>Budget1!A110</f>
        <v/>
      </c>
      <c r="E109" s="19"/>
      <c r="F109" s="19"/>
      <c r="G109" s="19"/>
      <c r="H109" s="19"/>
      <c r="I109" s="19"/>
      <c r="J109" s="118"/>
      <c r="K109" s="19"/>
      <c r="L109" s="19"/>
      <c r="M109" s="19"/>
      <c r="N109" s="19"/>
      <c r="O109" s="19"/>
      <c r="P109" s="118"/>
      <c r="Q109" s="118"/>
      <c r="R109" s="118"/>
      <c r="S109" s="118"/>
    </row>
    <row r="110" ht="15.75" customHeight="1">
      <c r="A110" s="117" t="str">
        <f>Budget1!A111</f>
        <v/>
      </c>
      <c r="E110" s="19"/>
      <c r="F110" s="19"/>
      <c r="G110" s="19"/>
      <c r="H110" s="19"/>
      <c r="I110" s="19"/>
      <c r="J110" s="118"/>
      <c r="K110" s="19"/>
      <c r="L110" s="19"/>
      <c r="M110" s="19"/>
      <c r="N110" s="19"/>
      <c r="O110" s="19"/>
      <c r="P110" s="118"/>
      <c r="Q110" s="118"/>
      <c r="R110" s="118"/>
      <c r="S110" s="118"/>
    </row>
    <row r="111" ht="15.75" customHeight="1">
      <c r="A111" s="117" t="str">
        <f>Budget1!A112</f>
        <v/>
      </c>
      <c r="E111" s="19"/>
      <c r="F111" s="19"/>
      <c r="G111" s="19"/>
      <c r="H111" s="19"/>
      <c r="I111" s="19"/>
      <c r="J111" s="118"/>
      <c r="K111" s="19"/>
      <c r="L111" s="19"/>
      <c r="M111" s="19"/>
      <c r="N111" s="19"/>
      <c r="O111" s="19"/>
      <c r="P111" s="118"/>
      <c r="Q111" s="118"/>
      <c r="R111" s="118"/>
      <c r="S111" s="118"/>
    </row>
    <row r="112" ht="15.75" customHeight="1">
      <c r="A112" s="117" t="str">
        <f>Budget1!A113</f>
        <v/>
      </c>
      <c r="E112" s="19"/>
      <c r="F112" s="19"/>
      <c r="G112" s="19"/>
      <c r="H112" s="19"/>
      <c r="I112" s="19"/>
      <c r="J112" s="118"/>
      <c r="K112" s="19"/>
      <c r="L112" s="19"/>
      <c r="M112" s="19"/>
      <c r="N112" s="19"/>
      <c r="O112" s="19"/>
      <c r="P112" s="118"/>
      <c r="Q112" s="118"/>
      <c r="R112" s="118"/>
      <c r="S112" s="118"/>
    </row>
    <row r="113" ht="15.75" customHeight="1">
      <c r="A113" s="117" t="str">
        <f>Budget1!A114</f>
        <v/>
      </c>
      <c r="E113" s="19"/>
      <c r="F113" s="19"/>
      <c r="G113" s="19"/>
      <c r="H113" s="19"/>
      <c r="I113" s="19"/>
      <c r="J113" s="118"/>
      <c r="K113" s="19"/>
      <c r="L113" s="19"/>
      <c r="M113" s="19"/>
      <c r="N113" s="19"/>
      <c r="O113" s="19"/>
      <c r="P113" s="118"/>
      <c r="Q113" s="118"/>
      <c r="R113" s="118"/>
      <c r="S113" s="118"/>
    </row>
    <row r="114" ht="15.75" customHeight="1">
      <c r="A114" s="117" t="str">
        <f>Budget1!A115</f>
        <v/>
      </c>
      <c r="E114" s="19"/>
      <c r="F114" s="19"/>
      <c r="G114" s="19"/>
      <c r="H114" s="19"/>
      <c r="I114" s="19"/>
      <c r="J114" s="118"/>
      <c r="K114" s="19"/>
      <c r="L114" s="19"/>
      <c r="M114" s="19"/>
      <c r="N114" s="19"/>
      <c r="O114" s="19"/>
      <c r="P114" s="118"/>
      <c r="Q114" s="118"/>
      <c r="R114" s="118"/>
      <c r="S114" s="118"/>
    </row>
    <row r="115" ht="15.75" customHeight="1">
      <c r="A115" s="117" t="str">
        <f>Budget1!A116</f>
        <v/>
      </c>
      <c r="E115" s="19"/>
      <c r="F115" s="19"/>
      <c r="G115" s="19"/>
      <c r="H115" s="19"/>
      <c r="I115" s="19"/>
      <c r="J115" s="118"/>
      <c r="K115" s="19"/>
      <c r="L115" s="19"/>
      <c r="M115" s="19"/>
      <c r="N115" s="19"/>
      <c r="O115" s="19"/>
      <c r="P115" s="118"/>
      <c r="Q115" s="118"/>
      <c r="R115" s="118"/>
      <c r="S115" s="118"/>
    </row>
    <row r="116" ht="15.75" customHeight="1">
      <c r="A116" s="117" t="str">
        <f>Budget1!A117</f>
        <v/>
      </c>
      <c r="E116" s="19"/>
      <c r="F116" s="19"/>
      <c r="G116" s="19"/>
      <c r="H116" s="19"/>
      <c r="I116" s="19"/>
      <c r="J116" s="118"/>
      <c r="K116" s="19"/>
      <c r="L116" s="19"/>
      <c r="M116" s="19"/>
      <c r="N116" s="19"/>
      <c r="O116" s="19"/>
      <c r="P116" s="118"/>
      <c r="Q116" s="118"/>
      <c r="R116" s="118"/>
      <c r="S116" s="118"/>
    </row>
    <row r="117" ht="15.75" customHeight="1">
      <c r="A117" s="117" t="str">
        <f>Budget1!A118</f>
        <v/>
      </c>
      <c r="E117" s="19"/>
      <c r="F117" s="19"/>
      <c r="G117" s="19"/>
      <c r="H117" s="19"/>
      <c r="I117" s="19"/>
      <c r="J117" s="118"/>
      <c r="K117" s="19"/>
      <c r="L117" s="19"/>
      <c r="M117" s="19"/>
      <c r="N117" s="19"/>
      <c r="O117" s="19"/>
      <c r="P117" s="118"/>
      <c r="Q117" s="118"/>
      <c r="R117" s="118"/>
      <c r="S117" s="118"/>
    </row>
    <row r="118" ht="15.75" customHeight="1">
      <c r="A118" s="117" t="str">
        <f>Budget1!A119</f>
        <v/>
      </c>
      <c r="E118" s="19"/>
      <c r="F118" s="19"/>
      <c r="G118" s="19"/>
      <c r="H118" s="19"/>
      <c r="I118" s="19"/>
      <c r="J118" s="118"/>
      <c r="K118" s="19"/>
      <c r="L118" s="19"/>
      <c r="M118" s="19"/>
      <c r="N118" s="19"/>
      <c r="O118" s="19"/>
      <c r="P118" s="118"/>
      <c r="Q118" s="118"/>
      <c r="R118" s="118"/>
      <c r="S118" s="118"/>
    </row>
    <row r="119" ht="15.75" customHeight="1">
      <c r="A119" s="117" t="str">
        <f>Budget1!A120</f>
        <v/>
      </c>
      <c r="E119" s="19"/>
      <c r="F119" s="19"/>
      <c r="G119" s="19"/>
      <c r="H119" s="19"/>
      <c r="I119" s="19"/>
      <c r="J119" s="118"/>
      <c r="K119" s="19"/>
      <c r="L119" s="19"/>
      <c r="M119" s="19"/>
      <c r="N119" s="19"/>
      <c r="O119" s="19"/>
      <c r="P119" s="118"/>
      <c r="Q119" s="118"/>
      <c r="R119" s="118"/>
      <c r="S119" s="118"/>
    </row>
    <row r="120" ht="15.75" customHeight="1">
      <c r="A120" s="117" t="str">
        <f>Budget1!A121</f>
        <v/>
      </c>
      <c r="E120" s="19"/>
      <c r="F120" s="19"/>
      <c r="G120" s="19"/>
      <c r="H120" s="19"/>
      <c r="I120" s="19"/>
      <c r="J120" s="118"/>
      <c r="K120" s="19"/>
      <c r="L120" s="19"/>
      <c r="M120" s="19"/>
      <c r="N120" s="19"/>
      <c r="O120" s="19"/>
      <c r="P120" s="118"/>
      <c r="Q120" s="118"/>
      <c r="R120" s="118"/>
      <c r="S120" s="118"/>
    </row>
    <row r="121" ht="15.75" customHeight="1">
      <c r="A121" s="117" t="str">
        <f>Budget1!A122</f>
        <v/>
      </c>
      <c r="E121" s="19"/>
      <c r="F121" s="19"/>
      <c r="G121" s="19"/>
      <c r="H121" s="19"/>
      <c r="I121" s="19"/>
      <c r="J121" s="118"/>
      <c r="K121" s="19"/>
      <c r="L121" s="19"/>
      <c r="M121" s="19"/>
      <c r="N121" s="19"/>
      <c r="O121" s="19"/>
      <c r="P121" s="118"/>
      <c r="Q121" s="118"/>
      <c r="R121" s="118"/>
      <c r="S121" s="118"/>
    </row>
    <row r="122" ht="15.75" customHeight="1">
      <c r="A122" s="117" t="str">
        <f>Budget1!A123</f>
        <v/>
      </c>
      <c r="E122" s="19"/>
      <c r="F122" s="19"/>
      <c r="G122" s="19"/>
      <c r="H122" s="19"/>
      <c r="I122" s="19"/>
      <c r="J122" s="118"/>
      <c r="K122" s="19"/>
      <c r="L122" s="19"/>
      <c r="M122" s="19"/>
      <c r="N122" s="19"/>
      <c r="O122" s="19"/>
      <c r="P122" s="118"/>
      <c r="Q122" s="118"/>
      <c r="R122" s="118"/>
      <c r="S122" s="118"/>
    </row>
    <row r="123" ht="15.75" customHeight="1">
      <c r="A123" s="117" t="str">
        <f>Budget1!A124</f>
        <v/>
      </c>
      <c r="E123" s="19"/>
      <c r="F123" s="19"/>
      <c r="G123" s="19"/>
      <c r="H123" s="19"/>
      <c r="I123" s="19"/>
      <c r="J123" s="118"/>
      <c r="K123" s="19"/>
      <c r="L123" s="19"/>
      <c r="M123" s="19"/>
      <c r="N123" s="19"/>
      <c r="O123" s="19"/>
      <c r="P123" s="118"/>
      <c r="Q123" s="118"/>
      <c r="R123" s="118"/>
      <c r="S123" s="118"/>
    </row>
    <row r="124" ht="15.75" customHeight="1">
      <c r="A124" s="117" t="str">
        <f>Budget1!A125</f>
        <v/>
      </c>
      <c r="E124" s="19"/>
      <c r="F124" s="19"/>
      <c r="G124" s="19"/>
      <c r="H124" s="19"/>
      <c r="I124" s="19"/>
      <c r="J124" s="118"/>
      <c r="K124" s="19"/>
      <c r="L124" s="19"/>
      <c r="M124" s="19"/>
      <c r="N124" s="19"/>
      <c r="O124" s="19"/>
      <c r="P124" s="118"/>
      <c r="Q124" s="118"/>
      <c r="R124" s="118"/>
      <c r="S124" s="118"/>
    </row>
    <row r="125" ht="15.75" customHeight="1">
      <c r="A125" s="117" t="str">
        <f>Budget1!A126</f>
        <v/>
      </c>
      <c r="E125" s="19"/>
      <c r="F125" s="19"/>
      <c r="G125" s="19"/>
      <c r="H125" s="19"/>
      <c r="I125" s="19"/>
      <c r="J125" s="118"/>
      <c r="K125" s="19"/>
      <c r="L125" s="19"/>
      <c r="M125" s="19"/>
      <c r="N125" s="19"/>
      <c r="O125" s="19"/>
      <c r="P125" s="118"/>
      <c r="Q125" s="118"/>
      <c r="R125" s="118"/>
      <c r="S125" s="118"/>
    </row>
    <row r="126" ht="15.75" customHeight="1">
      <c r="A126" s="117" t="str">
        <f>Budget1!A127</f>
        <v/>
      </c>
      <c r="E126" s="19"/>
      <c r="F126" s="19"/>
      <c r="G126" s="19"/>
      <c r="H126" s="19"/>
      <c r="I126" s="19"/>
      <c r="J126" s="118"/>
      <c r="K126" s="19"/>
      <c r="L126" s="19"/>
      <c r="M126" s="19"/>
      <c r="N126" s="19"/>
      <c r="O126" s="19"/>
      <c r="P126" s="118"/>
      <c r="Q126" s="118"/>
      <c r="R126" s="118"/>
      <c r="S126" s="118"/>
    </row>
    <row r="127" ht="15.75" customHeight="1">
      <c r="A127" s="117" t="str">
        <f>Budget1!A128</f>
        <v/>
      </c>
      <c r="E127" s="19"/>
      <c r="F127" s="19"/>
      <c r="G127" s="19"/>
      <c r="H127" s="19"/>
      <c r="I127" s="19"/>
      <c r="J127" s="118"/>
      <c r="K127" s="19"/>
      <c r="L127" s="19"/>
      <c r="M127" s="19"/>
      <c r="N127" s="19"/>
      <c r="O127" s="19"/>
      <c r="P127" s="118"/>
      <c r="Q127" s="118"/>
      <c r="R127" s="118"/>
      <c r="S127" s="118"/>
    </row>
    <row r="128" ht="15.75" customHeight="1">
      <c r="A128" s="117" t="str">
        <f>Budget1!A129</f>
        <v/>
      </c>
      <c r="E128" s="19"/>
      <c r="F128" s="19"/>
      <c r="G128" s="19"/>
      <c r="H128" s="19"/>
      <c r="I128" s="19"/>
      <c r="J128" s="118"/>
      <c r="K128" s="19"/>
      <c r="L128" s="19"/>
      <c r="M128" s="19"/>
      <c r="N128" s="19"/>
      <c r="O128" s="19"/>
      <c r="P128" s="118"/>
      <c r="Q128" s="118"/>
      <c r="R128" s="118"/>
      <c r="S128" s="118"/>
    </row>
    <row r="129" ht="15.75" customHeight="1">
      <c r="A129" s="117" t="str">
        <f>Budget1!A130</f>
        <v/>
      </c>
      <c r="E129" s="19"/>
      <c r="F129" s="19"/>
      <c r="G129" s="19"/>
      <c r="H129" s="19"/>
      <c r="I129" s="19"/>
      <c r="J129" s="118"/>
      <c r="K129" s="19"/>
      <c r="L129" s="19"/>
      <c r="M129" s="19"/>
      <c r="N129" s="19"/>
      <c r="O129" s="19"/>
      <c r="P129" s="118"/>
      <c r="Q129" s="118"/>
      <c r="R129" s="118"/>
      <c r="S129" s="118"/>
    </row>
    <row r="130" ht="15.75" customHeight="1">
      <c r="A130" s="117" t="str">
        <f>Budget1!A131</f>
        <v/>
      </c>
      <c r="E130" s="19"/>
      <c r="F130" s="19"/>
      <c r="G130" s="19"/>
      <c r="H130" s="19"/>
      <c r="I130" s="19"/>
      <c r="J130" s="118"/>
      <c r="K130" s="19"/>
      <c r="L130" s="19"/>
      <c r="M130" s="19"/>
      <c r="N130" s="19"/>
      <c r="O130" s="19"/>
      <c r="P130" s="118"/>
      <c r="Q130" s="118"/>
      <c r="R130" s="118"/>
      <c r="S130" s="118"/>
    </row>
    <row r="131" ht="15.75" customHeight="1">
      <c r="A131" s="117" t="str">
        <f>Budget1!A132</f>
        <v/>
      </c>
      <c r="E131" s="19"/>
      <c r="F131" s="19"/>
      <c r="G131" s="19"/>
      <c r="H131" s="19"/>
      <c r="I131" s="19"/>
      <c r="J131" s="118"/>
      <c r="K131" s="19"/>
      <c r="L131" s="19"/>
      <c r="M131" s="19"/>
      <c r="N131" s="19"/>
      <c r="O131" s="19"/>
      <c r="P131" s="118"/>
      <c r="Q131" s="118"/>
      <c r="R131" s="118"/>
      <c r="S131" s="118"/>
    </row>
    <row r="132" ht="15.75" customHeight="1">
      <c r="A132" s="117" t="str">
        <f>Budget1!A133</f>
        <v/>
      </c>
      <c r="E132" s="19"/>
      <c r="F132" s="19"/>
      <c r="G132" s="19"/>
      <c r="H132" s="19"/>
      <c r="I132" s="19"/>
      <c r="J132" s="118"/>
      <c r="K132" s="19"/>
      <c r="L132" s="19"/>
      <c r="M132" s="19"/>
      <c r="N132" s="19"/>
      <c r="O132" s="19"/>
      <c r="P132" s="118"/>
      <c r="Q132" s="118"/>
      <c r="R132" s="118"/>
      <c r="S132" s="118"/>
    </row>
    <row r="133" ht="15.75" customHeight="1">
      <c r="A133" s="117" t="str">
        <f>Budget1!A134</f>
        <v/>
      </c>
      <c r="E133" s="19"/>
      <c r="F133" s="19"/>
      <c r="G133" s="19"/>
      <c r="H133" s="19"/>
      <c r="I133" s="19"/>
      <c r="J133" s="118"/>
      <c r="K133" s="19"/>
      <c r="L133" s="19"/>
      <c r="M133" s="19"/>
      <c r="N133" s="19"/>
      <c r="O133" s="19"/>
      <c r="P133" s="118"/>
      <c r="Q133" s="118"/>
      <c r="R133" s="118"/>
      <c r="S133" s="118"/>
    </row>
    <row r="134" ht="15.75" customHeight="1">
      <c r="A134" s="117" t="str">
        <f>Budget1!A135</f>
        <v/>
      </c>
      <c r="E134" s="19"/>
      <c r="F134" s="19"/>
      <c r="G134" s="19"/>
      <c r="H134" s="19"/>
      <c r="I134" s="19"/>
      <c r="J134" s="118"/>
      <c r="K134" s="19"/>
      <c r="L134" s="19"/>
      <c r="M134" s="19"/>
      <c r="N134" s="19"/>
      <c r="O134" s="19"/>
      <c r="P134" s="118"/>
      <c r="Q134" s="118"/>
      <c r="R134" s="118"/>
      <c r="S134" s="118"/>
    </row>
    <row r="135" ht="15.75" customHeight="1">
      <c r="A135" s="117" t="str">
        <f>Budget1!A136</f>
        <v/>
      </c>
      <c r="E135" s="19"/>
      <c r="F135" s="19"/>
      <c r="G135" s="19"/>
      <c r="H135" s="19"/>
      <c r="I135" s="19"/>
      <c r="J135" s="118"/>
      <c r="K135" s="19"/>
      <c r="L135" s="19"/>
      <c r="M135" s="19"/>
      <c r="N135" s="19"/>
      <c r="O135" s="19"/>
      <c r="P135" s="118"/>
      <c r="Q135" s="118"/>
      <c r="R135" s="118"/>
      <c r="S135" s="118"/>
    </row>
    <row r="136" ht="15.75" customHeight="1">
      <c r="A136" s="117" t="str">
        <f>Budget1!A137</f>
        <v/>
      </c>
      <c r="E136" s="19"/>
      <c r="F136" s="19"/>
      <c r="G136" s="19"/>
      <c r="H136" s="19"/>
      <c r="I136" s="19"/>
      <c r="J136" s="118"/>
      <c r="K136" s="19"/>
      <c r="L136" s="19"/>
      <c r="M136" s="19"/>
      <c r="N136" s="19"/>
      <c r="O136" s="19"/>
      <c r="P136" s="118"/>
      <c r="Q136" s="118"/>
      <c r="R136" s="118"/>
      <c r="S136" s="118"/>
    </row>
    <row r="137" ht="15.75" customHeight="1">
      <c r="A137" s="117" t="str">
        <f>Budget1!A138</f>
        <v/>
      </c>
      <c r="E137" s="19"/>
      <c r="F137" s="19"/>
      <c r="G137" s="19"/>
      <c r="H137" s="19"/>
      <c r="I137" s="19"/>
      <c r="J137" s="118"/>
      <c r="K137" s="19"/>
      <c r="L137" s="19"/>
      <c r="M137" s="19"/>
      <c r="N137" s="19"/>
      <c r="O137" s="19"/>
      <c r="P137" s="118"/>
      <c r="Q137" s="118"/>
      <c r="R137" s="118"/>
      <c r="S137" s="118"/>
    </row>
    <row r="138" ht="15.75" customHeight="1">
      <c r="A138" s="117" t="str">
        <f>Budget1!A139</f>
        <v/>
      </c>
      <c r="E138" s="19"/>
      <c r="F138" s="19"/>
      <c r="G138" s="19"/>
      <c r="H138" s="19"/>
      <c r="I138" s="19"/>
      <c r="J138" s="118"/>
      <c r="K138" s="19"/>
      <c r="L138" s="19"/>
      <c r="M138" s="19"/>
      <c r="N138" s="19"/>
      <c r="O138" s="19"/>
      <c r="P138" s="118"/>
      <c r="Q138" s="118"/>
      <c r="R138" s="118"/>
      <c r="S138" s="118"/>
    </row>
    <row r="139" ht="15.75" customHeight="1">
      <c r="A139" s="117" t="str">
        <f>Budget1!A140</f>
        <v/>
      </c>
      <c r="E139" s="19"/>
      <c r="F139" s="19"/>
      <c r="G139" s="19"/>
      <c r="H139" s="19"/>
      <c r="I139" s="19"/>
      <c r="J139" s="118"/>
      <c r="K139" s="19"/>
      <c r="L139" s="19"/>
      <c r="M139" s="19"/>
      <c r="N139" s="19"/>
      <c r="O139" s="19"/>
      <c r="P139" s="118"/>
      <c r="Q139" s="118"/>
      <c r="R139" s="118"/>
      <c r="S139" s="118"/>
    </row>
    <row r="140" ht="15.75" customHeight="1">
      <c r="A140" s="117" t="str">
        <f>Budget1!A141</f>
        <v/>
      </c>
      <c r="E140" s="19"/>
      <c r="F140" s="19"/>
      <c r="G140" s="19"/>
      <c r="H140" s="19"/>
      <c r="I140" s="19"/>
      <c r="J140" s="118"/>
      <c r="K140" s="19"/>
      <c r="L140" s="19"/>
      <c r="M140" s="19"/>
      <c r="N140" s="19"/>
      <c r="O140" s="19"/>
      <c r="P140" s="118"/>
      <c r="Q140" s="118"/>
      <c r="R140" s="118"/>
      <c r="S140" s="118"/>
    </row>
    <row r="141" ht="15.75" customHeight="1">
      <c r="A141" s="117" t="str">
        <f>Budget1!A142</f>
        <v/>
      </c>
      <c r="E141" s="19"/>
      <c r="F141" s="19"/>
      <c r="G141" s="19"/>
      <c r="H141" s="19"/>
      <c r="I141" s="19"/>
      <c r="J141" s="118"/>
      <c r="K141" s="19"/>
      <c r="L141" s="19"/>
      <c r="M141" s="19"/>
      <c r="N141" s="19"/>
      <c r="O141" s="19"/>
      <c r="P141" s="118"/>
      <c r="Q141" s="118"/>
      <c r="R141" s="118"/>
      <c r="S141" s="118"/>
    </row>
    <row r="142" ht="15.75" customHeight="1">
      <c r="A142" s="117" t="str">
        <f>Budget1!A143</f>
        <v/>
      </c>
      <c r="E142" s="19"/>
      <c r="F142" s="19"/>
      <c r="G142" s="19"/>
      <c r="H142" s="19"/>
      <c r="I142" s="19"/>
      <c r="J142" s="118"/>
      <c r="K142" s="19"/>
      <c r="L142" s="19"/>
      <c r="M142" s="19"/>
      <c r="N142" s="19"/>
      <c r="O142" s="19"/>
      <c r="P142" s="118"/>
      <c r="Q142" s="118"/>
      <c r="R142" s="118"/>
      <c r="S142" s="118"/>
    </row>
    <row r="143" ht="15.75" customHeight="1">
      <c r="A143" s="117" t="str">
        <f>Budget1!A144</f>
        <v/>
      </c>
      <c r="E143" s="19"/>
      <c r="F143" s="19"/>
      <c r="G143" s="19"/>
      <c r="H143" s="19"/>
      <c r="I143" s="19"/>
      <c r="J143" s="118"/>
      <c r="K143" s="19"/>
      <c r="L143" s="19"/>
      <c r="M143" s="19"/>
      <c r="N143" s="19"/>
      <c r="O143" s="19"/>
      <c r="P143" s="118"/>
      <c r="Q143" s="118"/>
      <c r="R143" s="118"/>
      <c r="S143" s="118"/>
    </row>
    <row r="144" ht="15.75" customHeight="1">
      <c r="A144" s="117" t="str">
        <f>Budget1!A145</f>
        <v/>
      </c>
      <c r="E144" s="19"/>
      <c r="F144" s="19"/>
      <c r="G144" s="19"/>
      <c r="H144" s="19"/>
      <c r="I144" s="19"/>
      <c r="J144" s="118"/>
      <c r="K144" s="19"/>
      <c r="L144" s="19"/>
      <c r="M144" s="19"/>
      <c r="N144" s="19"/>
      <c r="O144" s="19"/>
      <c r="P144" s="118"/>
      <c r="Q144" s="118"/>
      <c r="R144" s="118"/>
      <c r="S144" s="118"/>
    </row>
    <row r="145" ht="15.75" customHeight="1">
      <c r="A145" s="117" t="str">
        <f>Budget1!A146</f>
        <v/>
      </c>
      <c r="E145" s="19"/>
      <c r="F145" s="19"/>
      <c r="G145" s="19"/>
      <c r="H145" s="19"/>
      <c r="I145" s="19"/>
      <c r="J145" s="118"/>
      <c r="K145" s="19"/>
      <c r="L145" s="19"/>
      <c r="M145" s="19"/>
      <c r="N145" s="19"/>
      <c r="O145" s="19"/>
      <c r="P145" s="118"/>
      <c r="Q145" s="118"/>
      <c r="R145" s="118"/>
      <c r="S145" s="118"/>
    </row>
    <row r="146" ht="15.75" customHeight="1">
      <c r="A146" s="117" t="str">
        <f>Budget1!A147</f>
        <v/>
      </c>
      <c r="E146" s="19"/>
      <c r="F146" s="19"/>
      <c r="G146" s="19"/>
      <c r="H146" s="19"/>
      <c r="I146" s="19"/>
      <c r="J146" s="118"/>
      <c r="K146" s="19"/>
      <c r="L146" s="19"/>
      <c r="M146" s="19"/>
      <c r="N146" s="19"/>
      <c r="O146" s="19"/>
      <c r="P146" s="118"/>
      <c r="Q146" s="118"/>
      <c r="R146" s="118"/>
      <c r="S146" s="118"/>
    </row>
    <row r="147" ht="15.75" customHeight="1">
      <c r="A147" s="117" t="str">
        <f>Budget1!A148</f>
        <v/>
      </c>
      <c r="E147" s="19"/>
      <c r="F147" s="19"/>
      <c r="G147" s="19"/>
      <c r="H147" s="19"/>
      <c r="I147" s="19"/>
      <c r="J147" s="118"/>
      <c r="K147" s="19"/>
      <c r="L147" s="19"/>
      <c r="M147" s="19"/>
      <c r="N147" s="19"/>
      <c r="O147" s="19"/>
      <c r="P147" s="118"/>
      <c r="Q147" s="118"/>
      <c r="R147" s="118"/>
      <c r="S147" s="118"/>
    </row>
    <row r="148" ht="15.75" customHeight="1">
      <c r="A148" s="117" t="str">
        <f>Budget1!A149</f>
        <v/>
      </c>
      <c r="E148" s="19"/>
      <c r="F148" s="19"/>
      <c r="G148" s="19"/>
      <c r="H148" s="19"/>
      <c r="I148" s="19"/>
      <c r="J148" s="118"/>
      <c r="K148" s="19"/>
      <c r="L148" s="19"/>
      <c r="M148" s="19"/>
      <c r="N148" s="19"/>
      <c r="O148" s="19"/>
      <c r="P148" s="118"/>
      <c r="Q148" s="118"/>
      <c r="R148" s="118"/>
      <c r="S148" s="118"/>
    </row>
    <row r="149" ht="15.75" customHeight="1">
      <c r="A149" s="117" t="str">
        <f>Budget1!A150</f>
        <v/>
      </c>
      <c r="E149" s="19"/>
      <c r="F149" s="19"/>
      <c r="G149" s="19"/>
      <c r="H149" s="19"/>
      <c r="I149" s="19"/>
      <c r="J149" s="118"/>
      <c r="K149" s="19"/>
      <c r="L149" s="19"/>
      <c r="M149" s="19"/>
      <c r="N149" s="19"/>
      <c r="O149" s="19"/>
      <c r="P149" s="118"/>
      <c r="Q149" s="118"/>
      <c r="R149" s="118"/>
      <c r="S149" s="118"/>
    </row>
    <row r="150" ht="15.75" customHeight="1">
      <c r="A150" s="117" t="str">
        <f>Budget1!A151</f>
        <v/>
      </c>
      <c r="E150" s="19"/>
      <c r="F150" s="19"/>
      <c r="G150" s="19"/>
      <c r="H150" s="19"/>
      <c r="I150" s="19"/>
      <c r="J150" s="118"/>
      <c r="K150" s="19"/>
      <c r="L150" s="19"/>
      <c r="M150" s="19"/>
      <c r="N150" s="19"/>
      <c r="O150" s="19"/>
      <c r="P150" s="118"/>
      <c r="Q150" s="118"/>
      <c r="R150" s="118"/>
      <c r="S150" s="118"/>
    </row>
    <row r="151" ht="15.75" customHeight="1">
      <c r="A151" s="117" t="str">
        <f>Budget1!A152</f>
        <v/>
      </c>
      <c r="E151" s="19"/>
      <c r="F151" s="19"/>
      <c r="G151" s="19"/>
      <c r="H151" s="19"/>
      <c r="I151" s="19"/>
      <c r="J151" s="118"/>
      <c r="K151" s="19"/>
      <c r="L151" s="19"/>
      <c r="M151" s="19"/>
      <c r="N151" s="19"/>
      <c r="O151" s="19"/>
      <c r="P151" s="118"/>
      <c r="Q151" s="118"/>
      <c r="R151" s="118"/>
      <c r="S151" s="118"/>
    </row>
    <row r="152" ht="15.75" customHeight="1">
      <c r="A152" s="117" t="str">
        <f>Budget1!A153</f>
        <v/>
      </c>
      <c r="E152" s="19"/>
      <c r="F152" s="19"/>
      <c r="G152" s="19"/>
      <c r="H152" s="19"/>
      <c r="I152" s="19"/>
      <c r="J152" s="118"/>
      <c r="K152" s="19"/>
      <c r="L152" s="19"/>
      <c r="M152" s="19"/>
      <c r="N152" s="19"/>
      <c r="O152" s="19"/>
      <c r="P152" s="118"/>
      <c r="Q152" s="118"/>
      <c r="R152" s="118"/>
      <c r="S152" s="118"/>
    </row>
    <row r="153" ht="15.75" customHeight="1">
      <c r="A153" s="117" t="str">
        <f>Budget1!A154</f>
        <v/>
      </c>
      <c r="E153" s="19"/>
      <c r="F153" s="19"/>
      <c r="G153" s="19"/>
      <c r="H153" s="19"/>
      <c r="I153" s="19"/>
      <c r="J153" s="118"/>
      <c r="K153" s="19"/>
      <c r="L153" s="19"/>
      <c r="M153" s="19"/>
      <c r="N153" s="19"/>
      <c r="O153" s="19"/>
      <c r="P153" s="118"/>
      <c r="Q153" s="118"/>
      <c r="R153" s="118"/>
      <c r="S153" s="118"/>
    </row>
    <row r="154" ht="15.75" customHeight="1">
      <c r="A154" s="117" t="str">
        <f>Budget1!A155</f>
        <v/>
      </c>
      <c r="E154" s="19"/>
      <c r="F154" s="19"/>
      <c r="G154" s="19"/>
      <c r="H154" s="19"/>
      <c r="I154" s="19"/>
      <c r="J154" s="118"/>
      <c r="K154" s="19"/>
      <c r="L154" s="19"/>
      <c r="M154" s="19"/>
      <c r="N154" s="19"/>
      <c r="O154" s="19"/>
      <c r="P154" s="118"/>
      <c r="Q154" s="118"/>
      <c r="R154" s="118"/>
      <c r="S154" s="118"/>
    </row>
    <row r="155" ht="15.75" customHeight="1">
      <c r="A155" s="117" t="str">
        <f>Budget1!A156</f>
        <v/>
      </c>
      <c r="E155" s="19"/>
      <c r="F155" s="19"/>
      <c r="G155" s="19"/>
      <c r="H155" s="19"/>
      <c r="I155" s="19"/>
      <c r="J155" s="118"/>
      <c r="K155" s="19"/>
      <c r="L155" s="19"/>
      <c r="M155" s="19"/>
      <c r="N155" s="19"/>
      <c r="O155" s="19"/>
      <c r="P155" s="118"/>
      <c r="Q155" s="118"/>
      <c r="R155" s="118"/>
      <c r="S155" s="118"/>
    </row>
    <row r="156" ht="15.75" customHeight="1">
      <c r="A156" s="117" t="str">
        <f>Budget1!A157</f>
        <v/>
      </c>
      <c r="E156" s="19"/>
      <c r="F156" s="19"/>
      <c r="G156" s="19"/>
      <c r="H156" s="19"/>
      <c r="I156" s="19"/>
      <c r="J156" s="118"/>
      <c r="K156" s="19"/>
      <c r="L156" s="19"/>
      <c r="M156" s="19"/>
      <c r="N156" s="19"/>
      <c r="O156" s="19"/>
      <c r="P156" s="118"/>
      <c r="Q156" s="118"/>
      <c r="R156" s="118"/>
      <c r="S156" s="118"/>
    </row>
    <row r="157" ht="15.75" customHeight="1">
      <c r="A157" s="117" t="str">
        <f>Budget1!A158</f>
        <v/>
      </c>
      <c r="E157" s="19"/>
      <c r="F157" s="19"/>
      <c r="G157" s="19"/>
      <c r="H157" s="19"/>
      <c r="I157" s="19"/>
      <c r="J157" s="118"/>
      <c r="K157" s="19"/>
      <c r="L157" s="19"/>
      <c r="M157" s="19"/>
      <c r="N157" s="19"/>
      <c r="O157" s="19"/>
      <c r="P157" s="118"/>
      <c r="Q157" s="118"/>
      <c r="R157" s="118"/>
      <c r="S157" s="118"/>
    </row>
    <row r="158" ht="15.75" customHeight="1">
      <c r="A158" s="117" t="str">
        <f>Budget1!A159</f>
        <v/>
      </c>
      <c r="E158" s="19"/>
      <c r="F158" s="19"/>
      <c r="G158" s="19"/>
      <c r="H158" s="19"/>
      <c r="I158" s="19"/>
      <c r="J158" s="118"/>
      <c r="K158" s="19"/>
      <c r="L158" s="19"/>
      <c r="M158" s="19"/>
      <c r="N158" s="19"/>
      <c r="O158" s="19"/>
      <c r="P158" s="118"/>
      <c r="Q158" s="118"/>
      <c r="R158" s="118"/>
      <c r="S158" s="118"/>
    </row>
    <row r="159" ht="15.75" customHeight="1">
      <c r="A159" s="117" t="str">
        <f>Budget1!A160</f>
        <v/>
      </c>
      <c r="E159" s="19"/>
      <c r="F159" s="19"/>
      <c r="G159" s="19"/>
      <c r="H159" s="19"/>
      <c r="I159" s="19"/>
      <c r="J159" s="118"/>
      <c r="K159" s="19"/>
      <c r="L159" s="19"/>
      <c r="M159" s="19"/>
      <c r="N159" s="19"/>
      <c r="O159" s="19"/>
      <c r="P159" s="118"/>
      <c r="Q159" s="118"/>
      <c r="R159" s="118"/>
      <c r="S159" s="118"/>
    </row>
    <row r="160" ht="15.75" customHeight="1">
      <c r="A160" s="117" t="str">
        <f>Budget1!A161</f>
        <v/>
      </c>
      <c r="E160" s="19"/>
      <c r="F160" s="19"/>
      <c r="G160" s="19"/>
      <c r="H160" s="19"/>
      <c r="I160" s="19"/>
      <c r="J160" s="118"/>
      <c r="K160" s="19"/>
      <c r="L160" s="19"/>
      <c r="M160" s="19"/>
      <c r="N160" s="19"/>
      <c r="O160" s="19"/>
      <c r="P160" s="118"/>
      <c r="Q160" s="118"/>
      <c r="R160" s="118"/>
      <c r="S160" s="118"/>
    </row>
    <row r="161" ht="15.75" customHeight="1">
      <c r="A161" s="117" t="str">
        <f>Budget1!A162</f>
        <v/>
      </c>
      <c r="E161" s="19"/>
      <c r="F161" s="19"/>
      <c r="G161" s="19"/>
      <c r="H161" s="19"/>
      <c r="I161" s="19"/>
      <c r="J161" s="118"/>
      <c r="K161" s="19"/>
      <c r="L161" s="19"/>
      <c r="M161" s="19"/>
      <c r="N161" s="19"/>
      <c r="O161" s="19"/>
      <c r="P161" s="118"/>
      <c r="Q161" s="118"/>
      <c r="R161" s="118"/>
      <c r="S161" s="118"/>
    </row>
    <row r="162" ht="15.75" customHeight="1">
      <c r="A162" s="117" t="str">
        <f>Budget1!A163</f>
        <v/>
      </c>
      <c r="E162" s="19"/>
      <c r="F162" s="19"/>
      <c r="G162" s="19"/>
      <c r="H162" s="19"/>
      <c r="I162" s="19"/>
      <c r="J162" s="118"/>
      <c r="K162" s="19"/>
      <c r="L162" s="19"/>
      <c r="M162" s="19"/>
      <c r="N162" s="19"/>
      <c r="O162" s="19"/>
      <c r="P162" s="118"/>
      <c r="Q162" s="118"/>
      <c r="R162" s="118"/>
      <c r="S162" s="118"/>
    </row>
    <row r="163" ht="15.75" customHeight="1">
      <c r="A163" s="117" t="str">
        <f>Budget1!A164</f>
        <v/>
      </c>
      <c r="E163" s="19"/>
      <c r="F163" s="19"/>
      <c r="G163" s="19"/>
      <c r="H163" s="19"/>
      <c r="I163" s="19"/>
      <c r="J163" s="118"/>
      <c r="K163" s="19"/>
      <c r="L163" s="19"/>
      <c r="M163" s="19"/>
      <c r="N163" s="19"/>
      <c r="O163" s="19"/>
      <c r="P163" s="118"/>
      <c r="Q163" s="118"/>
      <c r="R163" s="118"/>
      <c r="S163" s="118"/>
    </row>
    <row r="164" ht="15.75" customHeight="1">
      <c r="A164" s="117" t="str">
        <f>Budget1!A165</f>
        <v/>
      </c>
      <c r="E164" s="19"/>
      <c r="F164" s="19"/>
      <c r="G164" s="19"/>
      <c r="H164" s="19"/>
      <c r="I164" s="19"/>
      <c r="J164" s="118"/>
      <c r="K164" s="19"/>
      <c r="L164" s="19"/>
      <c r="M164" s="19"/>
      <c r="N164" s="19"/>
      <c r="O164" s="19"/>
      <c r="P164" s="118"/>
      <c r="Q164" s="118"/>
      <c r="R164" s="118"/>
      <c r="S164" s="118"/>
    </row>
    <row r="165" ht="15.75" customHeight="1">
      <c r="A165" s="117" t="str">
        <f>Budget1!A166</f>
        <v/>
      </c>
      <c r="E165" s="19"/>
      <c r="F165" s="19"/>
      <c r="G165" s="19"/>
      <c r="H165" s="19"/>
      <c r="I165" s="19"/>
      <c r="J165" s="118"/>
      <c r="K165" s="19"/>
      <c r="L165" s="19"/>
      <c r="M165" s="19"/>
      <c r="N165" s="19"/>
      <c r="O165" s="19"/>
      <c r="P165" s="118"/>
      <c r="Q165" s="118"/>
      <c r="R165" s="118"/>
      <c r="S165" s="118"/>
    </row>
    <row r="166" ht="15.75" customHeight="1">
      <c r="A166" s="117" t="str">
        <f>Budget1!A167</f>
        <v/>
      </c>
      <c r="E166" s="19"/>
      <c r="F166" s="19"/>
      <c r="G166" s="19"/>
      <c r="H166" s="19"/>
      <c r="I166" s="19"/>
      <c r="J166" s="118"/>
      <c r="K166" s="19"/>
      <c r="L166" s="19"/>
      <c r="M166" s="19"/>
      <c r="N166" s="19"/>
      <c r="O166" s="19"/>
      <c r="P166" s="118"/>
      <c r="Q166" s="118"/>
      <c r="R166" s="118"/>
      <c r="S166" s="118"/>
    </row>
    <row r="167" ht="15.75" customHeight="1">
      <c r="A167" s="117" t="str">
        <f>Budget1!A168</f>
        <v/>
      </c>
      <c r="E167" s="19"/>
      <c r="F167" s="19"/>
      <c r="G167" s="19"/>
      <c r="H167" s="19"/>
      <c r="I167" s="19"/>
      <c r="J167" s="118"/>
      <c r="K167" s="19"/>
      <c r="L167" s="19"/>
      <c r="M167" s="19"/>
      <c r="N167" s="19"/>
      <c r="O167" s="19"/>
      <c r="P167" s="118"/>
      <c r="Q167" s="118"/>
      <c r="R167" s="118"/>
      <c r="S167" s="118"/>
    </row>
    <row r="168" ht="15.75" customHeight="1">
      <c r="A168" s="117" t="str">
        <f>Budget1!A169</f>
        <v/>
      </c>
      <c r="E168" s="19"/>
      <c r="F168" s="19"/>
      <c r="G168" s="19"/>
      <c r="H168" s="19"/>
      <c r="I168" s="19"/>
      <c r="J168" s="118"/>
      <c r="K168" s="19"/>
      <c r="L168" s="19"/>
      <c r="M168" s="19"/>
      <c r="N168" s="19"/>
      <c r="O168" s="19"/>
      <c r="P168" s="118"/>
      <c r="Q168" s="118"/>
      <c r="R168" s="118"/>
      <c r="S168" s="118"/>
    </row>
    <row r="169" ht="15.75" customHeight="1">
      <c r="A169" s="117" t="str">
        <f>Budget1!A170</f>
        <v/>
      </c>
      <c r="E169" s="19"/>
      <c r="F169" s="19"/>
      <c r="G169" s="19"/>
      <c r="H169" s="19"/>
      <c r="I169" s="19"/>
      <c r="J169" s="118"/>
      <c r="K169" s="19"/>
      <c r="L169" s="19"/>
      <c r="M169" s="19"/>
      <c r="N169" s="19"/>
      <c r="O169" s="19"/>
      <c r="P169" s="118"/>
      <c r="Q169" s="118"/>
      <c r="R169" s="118"/>
      <c r="S169" s="118"/>
    </row>
    <row r="170" ht="15.75" customHeight="1">
      <c r="A170" s="117" t="str">
        <f>Budget1!A171</f>
        <v/>
      </c>
      <c r="E170" s="19"/>
      <c r="F170" s="19"/>
      <c r="G170" s="19"/>
      <c r="H170" s="19"/>
      <c r="I170" s="19"/>
      <c r="J170" s="118"/>
      <c r="K170" s="19"/>
      <c r="L170" s="19"/>
      <c r="M170" s="19"/>
      <c r="N170" s="19"/>
      <c r="O170" s="19"/>
      <c r="P170" s="118"/>
      <c r="Q170" s="118"/>
      <c r="R170" s="118"/>
      <c r="S170" s="118"/>
    </row>
    <row r="171" ht="15.75" customHeight="1">
      <c r="A171" s="117" t="str">
        <f>Budget1!A172</f>
        <v/>
      </c>
      <c r="E171" s="19"/>
      <c r="F171" s="19"/>
      <c r="G171" s="19"/>
      <c r="H171" s="19"/>
      <c r="I171" s="19"/>
      <c r="J171" s="118"/>
      <c r="K171" s="19"/>
      <c r="L171" s="19"/>
      <c r="M171" s="19"/>
      <c r="N171" s="19"/>
      <c r="O171" s="19"/>
      <c r="P171" s="118"/>
      <c r="Q171" s="118"/>
      <c r="R171" s="118"/>
      <c r="S171" s="118"/>
    </row>
    <row r="172" ht="15.75" customHeight="1">
      <c r="A172" s="117" t="str">
        <f>Budget1!A173</f>
        <v/>
      </c>
      <c r="E172" s="19"/>
      <c r="F172" s="19"/>
      <c r="G172" s="19"/>
      <c r="H172" s="19"/>
      <c r="I172" s="19"/>
      <c r="J172" s="118"/>
      <c r="K172" s="19"/>
      <c r="L172" s="19"/>
      <c r="M172" s="19"/>
      <c r="N172" s="19"/>
      <c r="O172" s="19"/>
      <c r="P172" s="118"/>
      <c r="Q172" s="118"/>
      <c r="R172" s="118"/>
      <c r="S172" s="118"/>
    </row>
    <row r="173" ht="15.75" customHeight="1">
      <c r="A173" s="117" t="str">
        <f>Budget1!A174</f>
        <v/>
      </c>
      <c r="E173" s="19"/>
      <c r="F173" s="19"/>
      <c r="G173" s="19"/>
      <c r="H173" s="19"/>
      <c r="I173" s="19"/>
      <c r="J173" s="118"/>
      <c r="K173" s="19"/>
      <c r="L173" s="19"/>
      <c r="M173" s="19"/>
      <c r="N173" s="19"/>
      <c r="O173" s="19"/>
      <c r="P173" s="118"/>
      <c r="Q173" s="118"/>
      <c r="R173" s="118"/>
      <c r="S173" s="118"/>
    </row>
    <row r="174" ht="15.75" customHeight="1">
      <c r="A174" s="117" t="str">
        <f>Budget1!A175</f>
        <v/>
      </c>
      <c r="E174" s="19"/>
      <c r="F174" s="19"/>
      <c r="G174" s="19"/>
      <c r="H174" s="19"/>
      <c r="I174" s="19"/>
      <c r="J174" s="118"/>
      <c r="K174" s="19"/>
      <c r="L174" s="19"/>
      <c r="M174" s="19"/>
      <c r="N174" s="19"/>
      <c r="O174" s="19"/>
      <c r="P174" s="118"/>
      <c r="Q174" s="118"/>
      <c r="R174" s="118"/>
      <c r="S174" s="118"/>
    </row>
    <row r="175" ht="15.75" customHeight="1">
      <c r="A175" s="126"/>
      <c r="E175" s="19"/>
      <c r="F175" s="19"/>
      <c r="G175" s="19"/>
      <c r="H175" s="19"/>
      <c r="I175" s="19"/>
      <c r="J175" s="118"/>
      <c r="K175" s="19"/>
      <c r="L175" s="19"/>
      <c r="M175" s="19"/>
      <c r="N175" s="19"/>
      <c r="O175" s="19"/>
      <c r="P175" s="118"/>
      <c r="Q175" s="118"/>
      <c r="R175" s="118"/>
      <c r="S175" s="118"/>
    </row>
    <row r="176" ht="15.75" customHeight="1">
      <c r="A176" s="126"/>
      <c r="E176" s="19"/>
      <c r="F176" s="19"/>
      <c r="G176" s="19"/>
      <c r="H176" s="19"/>
      <c r="I176" s="19"/>
      <c r="J176" s="118"/>
      <c r="K176" s="19"/>
      <c r="L176" s="19"/>
      <c r="M176" s="19"/>
      <c r="N176" s="19"/>
      <c r="O176" s="19"/>
      <c r="P176" s="118"/>
      <c r="Q176" s="118"/>
      <c r="R176" s="118"/>
      <c r="S176" s="118"/>
    </row>
    <row r="177" ht="15.75" customHeight="1">
      <c r="A177" s="126"/>
      <c r="E177" s="19"/>
      <c r="F177" s="19"/>
      <c r="G177" s="19"/>
      <c r="H177" s="19"/>
      <c r="I177" s="19"/>
      <c r="J177" s="118"/>
      <c r="K177" s="19"/>
      <c r="L177" s="19"/>
      <c r="M177" s="19"/>
      <c r="N177" s="19"/>
      <c r="O177" s="19"/>
      <c r="P177" s="118"/>
      <c r="Q177" s="118"/>
      <c r="R177" s="118"/>
      <c r="S177" s="118"/>
    </row>
    <row r="178" ht="15.75" customHeight="1">
      <c r="A178" s="126"/>
      <c r="E178" s="19"/>
      <c r="F178" s="19"/>
      <c r="G178" s="19"/>
      <c r="H178" s="19"/>
      <c r="I178" s="19"/>
      <c r="J178" s="118"/>
      <c r="K178" s="19"/>
      <c r="L178" s="19"/>
      <c r="M178" s="19"/>
      <c r="N178" s="19"/>
      <c r="O178" s="19"/>
      <c r="P178" s="118"/>
      <c r="Q178" s="118"/>
      <c r="R178" s="118"/>
      <c r="S178" s="118"/>
    </row>
    <row r="179" ht="15.75" customHeight="1">
      <c r="A179" s="126"/>
      <c r="E179" s="19"/>
      <c r="F179" s="19"/>
      <c r="G179" s="19"/>
      <c r="H179" s="19"/>
      <c r="I179" s="19"/>
      <c r="J179" s="118"/>
      <c r="K179" s="19"/>
      <c r="L179" s="19"/>
      <c r="M179" s="19"/>
      <c r="N179" s="19"/>
      <c r="O179" s="19"/>
      <c r="P179" s="118"/>
      <c r="Q179" s="118"/>
      <c r="R179" s="118"/>
      <c r="S179" s="118"/>
    </row>
    <row r="180" ht="15.75" customHeight="1">
      <c r="A180" s="126"/>
      <c r="E180" s="19"/>
      <c r="F180" s="19"/>
      <c r="G180" s="19"/>
      <c r="H180" s="19"/>
      <c r="I180" s="19"/>
      <c r="J180" s="118"/>
      <c r="K180" s="19"/>
      <c r="L180" s="19"/>
      <c r="M180" s="19"/>
      <c r="N180" s="19"/>
      <c r="O180" s="19"/>
      <c r="P180" s="118"/>
      <c r="Q180" s="118"/>
      <c r="R180" s="118"/>
      <c r="S180" s="118"/>
    </row>
    <row r="181" ht="15.75" customHeight="1">
      <c r="A181" s="126"/>
      <c r="E181" s="19"/>
      <c r="F181" s="19"/>
      <c r="G181" s="19"/>
      <c r="H181" s="19"/>
      <c r="I181" s="19"/>
      <c r="J181" s="118"/>
      <c r="K181" s="19"/>
      <c r="L181" s="19"/>
      <c r="M181" s="19"/>
      <c r="N181" s="19"/>
      <c r="O181" s="19"/>
      <c r="P181" s="118"/>
      <c r="Q181" s="118"/>
      <c r="R181" s="118"/>
      <c r="S181" s="118"/>
    </row>
    <row r="182" ht="15.75" customHeight="1">
      <c r="A182" s="126"/>
      <c r="E182" s="19"/>
      <c r="F182" s="19"/>
      <c r="G182" s="19"/>
      <c r="H182" s="19"/>
      <c r="I182" s="19"/>
      <c r="J182" s="118"/>
      <c r="K182" s="19"/>
      <c r="L182" s="19"/>
      <c r="M182" s="19"/>
      <c r="N182" s="19"/>
      <c r="O182" s="19"/>
      <c r="P182" s="118"/>
      <c r="Q182" s="118"/>
      <c r="R182" s="118"/>
      <c r="S182" s="118"/>
    </row>
    <row r="183" ht="15.75" customHeight="1">
      <c r="A183" s="126"/>
      <c r="E183" s="19"/>
      <c r="F183" s="19"/>
      <c r="G183" s="19"/>
      <c r="H183" s="19"/>
      <c r="I183" s="19"/>
      <c r="J183" s="118"/>
      <c r="K183" s="19"/>
      <c r="L183" s="19"/>
      <c r="M183" s="19"/>
      <c r="N183" s="19"/>
      <c r="O183" s="19"/>
      <c r="P183" s="118"/>
      <c r="Q183" s="118"/>
      <c r="R183" s="118"/>
      <c r="S183" s="118"/>
    </row>
    <row r="184" ht="15.75" customHeight="1">
      <c r="A184" s="126"/>
      <c r="E184" s="19"/>
      <c r="F184" s="19"/>
      <c r="G184" s="19"/>
      <c r="H184" s="19"/>
      <c r="I184" s="19"/>
      <c r="J184" s="118"/>
      <c r="K184" s="19"/>
      <c r="L184" s="19"/>
      <c r="M184" s="19"/>
      <c r="N184" s="19"/>
      <c r="O184" s="19"/>
      <c r="P184" s="118"/>
      <c r="Q184" s="118"/>
      <c r="R184" s="118"/>
      <c r="S184" s="118"/>
    </row>
    <row r="185" ht="15.75" customHeight="1">
      <c r="A185" s="126"/>
      <c r="E185" s="19"/>
      <c r="F185" s="19"/>
      <c r="G185" s="19"/>
      <c r="H185" s="19"/>
      <c r="I185" s="19"/>
      <c r="J185" s="118"/>
      <c r="K185" s="19"/>
      <c r="L185" s="19"/>
      <c r="M185" s="19"/>
      <c r="N185" s="19"/>
      <c r="O185" s="19"/>
      <c r="P185" s="118"/>
      <c r="Q185" s="118"/>
      <c r="R185" s="118"/>
      <c r="S185" s="118"/>
    </row>
    <row r="186" ht="15.75" customHeight="1">
      <c r="A186" s="126"/>
      <c r="E186" s="19"/>
      <c r="F186" s="19"/>
      <c r="G186" s="19"/>
      <c r="H186" s="19"/>
      <c r="I186" s="19"/>
      <c r="J186" s="118"/>
      <c r="K186" s="19"/>
      <c r="L186" s="19"/>
      <c r="M186" s="19"/>
      <c r="N186" s="19"/>
      <c r="O186" s="19"/>
      <c r="P186" s="118"/>
      <c r="Q186" s="118"/>
      <c r="R186" s="118"/>
      <c r="S186" s="118"/>
    </row>
    <row r="187" ht="15.75" customHeight="1">
      <c r="A187" s="126"/>
      <c r="E187" s="19"/>
      <c r="F187" s="19"/>
      <c r="G187" s="19"/>
      <c r="H187" s="19"/>
      <c r="I187" s="19"/>
      <c r="J187" s="118"/>
      <c r="K187" s="19"/>
      <c r="L187" s="19"/>
      <c r="M187" s="19"/>
      <c r="N187" s="19"/>
      <c r="O187" s="19"/>
      <c r="P187" s="118"/>
      <c r="Q187" s="118"/>
      <c r="R187" s="118"/>
      <c r="S187" s="118"/>
    </row>
    <row r="188" ht="15.75" customHeight="1">
      <c r="A188" s="126"/>
      <c r="E188" s="19"/>
      <c r="F188" s="19"/>
      <c r="G188" s="19"/>
      <c r="H188" s="19"/>
      <c r="I188" s="19"/>
      <c r="J188" s="118"/>
      <c r="K188" s="19"/>
      <c r="L188" s="19"/>
      <c r="M188" s="19"/>
      <c r="N188" s="19"/>
      <c r="O188" s="19"/>
      <c r="P188" s="118"/>
      <c r="Q188" s="118"/>
      <c r="R188" s="118"/>
      <c r="S188" s="118"/>
    </row>
    <row r="189" ht="15.75" customHeight="1">
      <c r="A189" s="126"/>
      <c r="E189" s="19"/>
      <c r="F189" s="19"/>
      <c r="G189" s="19"/>
      <c r="H189" s="19"/>
      <c r="I189" s="19"/>
      <c r="J189" s="118"/>
      <c r="K189" s="19"/>
      <c r="L189" s="19"/>
      <c r="M189" s="19"/>
      <c r="N189" s="19"/>
      <c r="O189" s="19"/>
      <c r="P189" s="118"/>
      <c r="Q189" s="118"/>
      <c r="R189" s="118"/>
      <c r="S189" s="118"/>
    </row>
    <row r="190" ht="15.75" customHeight="1">
      <c r="A190" s="126"/>
      <c r="E190" s="19"/>
      <c r="F190" s="19"/>
      <c r="G190" s="19"/>
      <c r="H190" s="19"/>
      <c r="I190" s="19"/>
      <c r="J190" s="118"/>
      <c r="K190" s="19"/>
      <c r="L190" s="19"/>
      <c r="M190" s="19"/>
      <c r="N190" s="19"/>
      <c r="O190" s="19"/>
      <c r="P190" s="118"/>
      <c r="Q190" s="118"/>
      <c r="R190" s="118"/>
      <c r="S190" s="118"/>
    </row>
    <row r="191" ht="15.75" customHeight="1">
      <c r="A191" s="126"/>
      <c r="E191" s="19"/>
      <c r="F191" s="19"/>
      <c r="G191" s="19"/>
      <c r="H191" s="19"/>
      <c r="I191" s="19"/>
      <c r="J191" s="118"/>
      <c r="K191" s="19"/>
      <c r="L191" s="19"/>
      <c r="M191" s="19"/>
      <c r="N191" s="19"/>
      <c r="O191" s="19"/>
      <c r="P191" s="118"/>
      <c r="Q191" s="118"/>
      <c r="R191" s="118"/>
      <c r="S191" s="118"/>
    </row>
    <row r="192" ht="15.75" customHeight="1">
      <c r="A192" s="126"/>
      <c r="E192" s="19"/>
      <c r="F192" s="19"/>
      <c r="G192" s="19"/>
      <c r="H192" s="19"/>
      <c r="I192" s="19"/>
      <c r="J192" s="118"/>
      <c r="K192" s="19"/>
      <c r="L192" s="19"/>
      <c r="M192" s="19"/>
      <c r="N192" s="19"/>
      <c r="O192" s="19"/>
      <c r="P192" s="118"/>
      <c r="Q192" s="118"/>
      <c r="R192" s="118"/>
      <c r="S192" s="118"/>
    </row>
    <row r="193" ht="15.75" customHeight="1">
      <c r="A193" s="126"/>
      <c r="E193" s="19"/>
      <c r="F193" s="19"/>
      <c r="G193" s="19"/>
      <c r="H193" s="19"/>
      <c r="I193" s="19"/>
      <c r="J193" s="118"/>
      <c r="K193" s="19"/>
      <c r="L193" s="19"/>
      <c r="M193" s="19"/>
      <c r="N193" s="19"/>
      <c r="O193" s="19"/>
      <c r="P193" s="118"/>
      <c r="Q193" s="118"/>
      <c r="R193" s="118"/>
      <c r="S193" s="118"/>
    </row>
    <row r="194" ht="15.75" customHeight="1">
      <c r="A194" s="126"/>
      <c r="E194" s="19"/>
      <c r="F194" s="19"/>
      <c r="G194" s="19"/>
      <c r="H194" s="19"/>
      <c r="I194" s="19"/>
      <c r="J194" s="118"/>
      <c r="K194" s="19"/>
      <c r="L194" s="19"/>
      <c r="M194" s="19"/>
      <c r="N194" s="19"/>
      <c r="O194" s="19"/>
      <c r="P194" s="118"/>
      <c r="Q194" s="118"/>
      <c r="R194" s="118"/>
      <c r="S194" s="118"/>
    </row>
    <row r="195" ht="15.75" customHeight="1">
      <c r="A195" s="126"/>
      <c r="E195" s="19"/>
      <c r="F195" s="19"/>
      <c r="G195" s="19"/>
      <c r="H195" s="19"/>
      <c r="I195" s="19"/>
      <c r="J195" s="118"/>
      <c r="K195" s="19"/>
      <c r="L195" s="19"/>
      <c r="M195" s="19"/>
      <c r="N195" s="19"/>
      <c r="O195" s="19"/>
      <c r="P195" s="118"/>
      <c r="Q195" s="118"/>
      <c r="R195" s="118"/>
      <c r="S195" s="118"/>
    </row>
    <row r="196" ht="15.75" customHeight="1">
      <c r="A196" s="126"/>
      <c r="E196" s="19"/>
      <c r="F196" s="19"/>
      <c r="G196" s="19"/>
      <c r="H196" s="19"/>
      <c r="I196" s="19"/>
      <c r="J196" s="118"/>
      <c r="K196" s="19"/>
      <c r="L196" s="19"/>
      <c r="M196" s="19"/>
      <c r="N196" s="19"/>
      <c r="O196" s="19"/>
      <c r="P196" s="118"/>
      <c r="Q196" s="118"/>
      <c r="R196" s="118"/>
      <c r="S196" s="118"/>
    </row>
    <row r="197" ht="15.75" customHeight="1">
      <c r="A197" s="126"/>
      <c r="E197" s="19"/>
      <c r="F197" s="19"/>
      <c r="G197" s="19"/>
      <c r="H197" s="19"/>
      <c r="I197" s="19"/>
      <c r="J197" s="118"/>
      <c r="K197" s="19"/>
      <c r="L197" s="19"/>
      <c r="M197" s="19"/>
      <c r="N197" s="19"/>
      <c r="O197" s="19"/>
      <c r="P197" s="118"/>
      <c r="Q197" s="118"/>
      <c r="R197" s="118"/>
      <c r="S197" s="118"/>
    </row>
    <row r="198" ht="15.75" customHeight="1">
      <c r="A198" s="126"/>
      <c r="E198" s="19"/>
      <c r="F198" s="19"/>
      <c r="G198" s="19"/>
      <c r="H198" s="19"/>
      <c r="I198" s="19"/>
      <c r="J198" s="118"/>
      <c r="K198" s="19"/>
      <c r="L198" s="19"/>
      <c r="M198" s="19"/>
      <c r="N198" s="19"/>
      <c r="O198" s="19"/>
      <c r="P198" s="118"/>
      <c r="Q198" s="118"/>
      <c r="R198" s="118"/>
      <c r="S198" s="118"/>
    </row>
    <row r="199" ht="15.75" customHeight="1">
      <c r="A199" s="126"/>
      <c r="E199" s="19"/>
      <c r="F199" s="19"/>
      <c r="G199" s="19"/>
      <c r="H199" s="19"/>
      <c r="I199" s="19"/>
      <c r="J199" s="118"/>
      <c r="K199" s="19"/>
      <c r="L199" s="19"/>
      <c r="M199" s="19"/>
      <c r="N199" s="19"/>
      <c r="O199" s="19"/>
      <c r="P199" s="118"/>
      <c r="Q199" s="118"/>
      <c r="R199" s="118"/>
      <c r="S199" s="118"/>
    </row>
    <row r="200" ht="15.75" customHeight="1">
      <c r="A200" s="126"/>
      <c r="E200" s="19"/>
      <c r="F200" s="19"/>
      <c r="G200" s="19"/>
      <c r="H200" s="19"/>
      <c r="I200" s="19"/>
      <c r="J200" s="118"/>
      <c r="K200" s="19"/>
      <c r="L200" s="19"/>
      <c r="M200" s="19"/>
      <c r="N200" s="19"/>
      <c r="O200" s="19"/>
      <c r="P200" s="118"/>
      <c r="Q200" s="118"/>
      <c r="R200" s="118"/>
      <c r="S200" s="118"/>
    </row>
    <row r="201" ht="15.75" customHeight="1">
      <c r="A201" s="126"/>
      <c r="E201" s="19"/>
      <c r="F201" s="19"/>
      <c r="G201" s="19"/>
      <c r="H201" s="19"/>
      <c r="I201" s="19"/>
      <c r="J201" s="118"/>
      <c r="K201" s="19"/>
      <c r="L201" s="19"/>
      <c r="M201" s="19"/>
      <c r="N201" s="19"/>
      <c r="O201" s="19"/>
      <c r="P201" s="118"/>
      <c r="Q201" s="118"/>
      <c r="R201" s="118"/>
      <c r="S201" s="118"/>
    </row>
    <row r="202" ht="15.75" customHeight="1">
      <c r="A202" s="126"/>
      <c r="E202" s="19"/>
      <c r="F202" s="19"/>
      <c r="G202" s="19"/>
      <c r="H202" s="19"/>
      <c r="I202" s="19"/>
      <c r="J202" s="118"/>
      <c r="K202" s="19"/>
      <c r="L202" s="19"/>
      <c r="M202" s="19"/>
      <c r="N202" s="19"/>
      <c r="O202" s="19"/>
      <c r="P202" s="118"/>
      <c r="Q202" s="118"/>
      <c r="R202" s="118"/>
      <c r="S202" s="118"/>
    </row>
    <row r="203" ht="15.75" customHeight="1">
      <c r="A203" s="126"/>
      <c r="E203" s="19"/>
      <c r="F203" s="19"/>
      <c r="G203" s="19"/>
      <c r="H203" s="19"/>
      <c r="I203" s="19"/>
      <c r="J203" s="118"/>
      <c r="K203" s="19"/>
      <c r="L203" s="19"/>
      <c r="M203" s="19"/>
      <c r="N203" s="19"/>
      <c r="O203" s="19"/>
      <c r="P203" s="118"/>
      <c r="Q203" s="118"/>
      <c r="R203" s="118"/>
      <c r="S203" s="118"/>
    </row>
    <row r="204" ht="15.75" customHeight="1">
      <c r="A204" s="126"/>
      <c r="E204" s="19"/>
      <c r="F204" s="19"/>
      <c r="G204" s="19"/>
      <c r="H204" s="19"/>
      <c r="I204" s="19"/>
      <c r="J204" s="118"/>
      <c r="K204" s="19"/>
      <c r="L204" s="19"/>
      <c r="M204" s="19"/>
      <c r="N204" s="19"/>
      <c r="O204" s="19"/>
      <c r="P204" s="118"/>
      <c r="Q204" s="118"/>
      <c r="R204" s="118"/>
      <c r="S204" s="118"/>
    </row>
    <row r="205" ht="15.75" customHeight="1">
      <c r="A205" s="126"/>
      <c r="E205" s="19"/>
      <c r="F205" s="19"/>
      <c r="G205" s="19"/>
      <c r="H205" s="19"/>
      <c r="I205" s="19"/>
      <c r="J205" s="118"/>
      <c r="K205" s="19"/>
      <c r="L205" s="19"/>
      <c r="M205" s="19"/>
      <c r="N205" s="19"/>
      <c r="O205" s="19"/>
      <c r="P205" s="118"/>
      <c r="Q205" s="118"/>
      <c r="R205" s="118"/>
      <c r="S205" s="118"/>
    </row>
    <row r="206" ht="15.75" customHeight="1">
      <c r="A206" s="126"/>
      <c r="E206" s="19"/>
      <c r="F206" s="19"/>
      <c r="G206" s="19"/>
      <c r="H206" s="19"/>
      <c r="I206" s="19"/>
      <c r="J206" s="118"/>
      <c r="K206" s="19"/>
      <c r="L206" s="19"/>
      <c r="M206" s="19"/>
      <c r="N206" s="19"/>
      <c r="O206" s="19"/>
      <c r="P206" s="118"/>
      <c r="Q206" s="118"/>
      <c r="R206" s="118"/>
      <c r="S206" s="118"/>
    </row>
    <row r="207" ht="15.75" customHeight="1">
      <c r="A207" s="126"/>
      <c r="E207" s="19"/>
      <c r="F207" s="19"/>
      <c r="G207" s="19"/>
      <c r="H207" s="19"/>
      <c r="I207" s="19"/>
      <c r="J207" s="118"/>
      <c r="K207" s="19"/>
      <c r="L207" s="19"/>
      <c r="M207" s="19"/>
      <c r="N207" s="19"/>
      <c r="O207" s="19"/>
      <c r="P207" s="118"/>
      <c r="Q207" s="118"/>
      <c r="R207" s="118"/>
      <c r="S207" s="118"/>
    </row>
    <row r="208" ht="15.75" customHeight="1">
      <c r="A208" s="126"/>
      <c r="E208" s="19"/>
      <c r="F208" s="19"/>
      <c r="G208" s="19"/>
      <c r="H208" s="19"/>
      <c r="I208" s="19"/>
      <c r="J208" s="118"/>
      <c r="K208" s="19"/>
      <c r="L208" s="19"/>
      <c r="M208" s="19"/>
      <c r="N208" s="19"/>
      <c r="O208" s="19"/>
      <c r="P208" s="118"/>
      <c r="Q208" s="118"/>
      <c r="R208" s="118"/>
      <c r="S208" s="118"/>
    </row>
    <row r="209" ht="15.75" customHeight="1">
      <c r="A209" s="126"/>
      <c r="E209" s="19"/>
      <c r="F209" s="19"/>
      <c r="G209" s="19"/>
      <c r="H209" s="19"/>
      <c r="I209" s="19"/>
      <c r="J209" s="118"/>
      <c r="K209" s="19"/>
      <c r="L209" s="19"/>
      <c r="M209" s="19"/>
      <c r="N209" s="19"/>
      <c r="O209" s="19"/>
      <c r="P209" s="118"/>
      <c r="Q209" s="118"/>
      <c r="R209" s="118"/>
      <c r="S209" s="118"/>
    </row>
    <row r="210" ht="15.75" customHeight="1">
      <c r="A210" s="126"/>
      <c r="E210" s="19"/>
      <c r="F210" s="19"/>
      <c r="G210" s="19"/>
      <c r="H210" s="19"/>
      <c r="I210" s="19"/>
      <c r="J210" s="118"/>
      <c r="K210" s="19"/>
      <c r="L210" s="19"/>
      <c r="M210" s="19"/>
      <c r="N210" s="19"/>
      <c r="O210" s="19"/>
      <c r="P210" s="118"/>
      <c r="Q210" s="118"/>
      <c r="R210" s="118"/>
      <c r="S210" s="118"/>
    </row>
    <row r="211" ht="15.75" customHeight="1">
      <c r="A211" s="126"/>
      <c r="E211" s="19"/>
      <c r="F211" s="19"/>
      <c r="G211" s="19"/>
      <c r="H211" s="19"/>
      <c r="I211" s="19"/>
      <c r="J211" s="118"/>
      <c r="K211" s="19"/>
      <c r="L211" s="19"/>
      <c r="M211" s="19"/>
      <c r="N211" s="19"/>
      <c r="O211" s="19"/>
      <c r="P211" s="118"/>
      <c r="Q211" s="118"/>
      <c r="R211" s="118"/>
      <c r="S211" s="118"/>
    </row>
    <row r="212" ht="15.75" customHeight="1">
      <c r="A212" s="126"/>
      <c r="E212" s="19"/>
      <c r="F212" s="19"/>
      <c r="G212" s="19"/>
      <c r="H212" s="19"/>
      <c r="I212" s="19"/>
      <c r="J212" s="118"/>
      <c r="K212" s="19"/>
      <c r="L212" s="19"/>
      <c r="M212" s="19"/>
      <c r="N212" s="19"/>
      <c r="O212" s="19"/>
      <c r="P212" s="118"/>
      <c r="Q212" s="118"/>
      <c r="R212" s="118"/>
      <c r="S212" s="118"/>
    </row>
    <row r="213" ht="15.75" customHeight="1">
      <c r="A213" s="126"/>
      <c r="E213" s="19"/>
      <c r="F213" s="19"/>
      <c r="G213" s="19"/>
      <c r="H213" s="19"/>
      <c r="I213" s="19"/>
      <c r="J213" s="118"/>
      <c r="K213" s="19"/>
      <c r="L213" s="19"/>
      <c r="M213" s="19"/>
      <c r="N213" s="19"/>
      <c r="O213" s="19"/>
      <c r="P213" s="118"/>
      <c r="Q213" s="118"/>
      <c r="R213" s="118"/>
      <c r="S213" s="118"/>
    </row>
    <row r="214" ht="15.75" customHeight="1">
      <c r="A214" s="126"/>
      <c r="E214" s="19"/>
      <c r="F214" s="19"/>
      <c r="G214" s="19"/>
      <c r="H214" s="19"/>
      <c r="I214" s="19"/>
      <c r="J214" s="118"/>
      <c r="K214" s="19"/>
      <c r="L214" s="19"/>
      <c r="M214" s="19"/>
      <c r="N214" s="19"/>
      <c r="O214" s="19"/>
      <c r="P214" s="118"/>
      <c r="Q214" s="118"/>
      <c r="R214" s="118"/>
      <c r="S214" s="118"/>
    </row>
    <row r="215" ht="15.75" customHeight="1">
      <c r="A215" s="126"/>
      <c r="E215" s="19"/>
      <c r="F215" s="19"/>
      <c r="G215" s="19"/>
      <c r="H215" s="19"/>
      <c r="I215" s="19"/>
      <c r="J215" s="118"/>
      <c r="K215" s="19"/>
      <c r="L215" s="19"/>
      <c r="M215" s="19"/>
      <c r="N215" s="19"/>
      <c r="O215" s="19"/>
      <c r="P215" s="118"/>
      <c r="Q215" s="118"/>
      <c r="R215" s="118"/>
      <c r="S215" s="118"/>
    </row>
    <row r="216" ht="15.75" customHeight="1">
      <c r="A216" s="126"/>
      <c r="E216" s="19"/>
      <c r="F216" s="19"/>
      <c r="G216" s="19"/>
      <c r="H216" s="19"/>
      <c r="I216" s="19"/>
      <c r="J216" s="118"/>
      <c r="K216" s="19"/>
      <c r="L216" s="19"/>
      <c r="M216" s="19"/>
      <c r="N216" s="19"/>
      <c r="O216" s="19"/>
      <c r="P216" s="118"/>
      <c r="Q216" s="118"/>
      <c r="R216" s="118"/>
      <c r="S216" s="118"/>
    </row>
    <row r="217" ht="15.75" customHeight="1">
      <c r="A217" s="126"/>
      <c r="E217" s="19"/>
      <c r="F217" s="19"/>
      <c r="G217" s="19"/>
      <c r="H217" s="19"/>
      <c r="I217" s="19"/>
      <c r="J217" s="118"/>
      <c r="K217" s="19"/>
      <c r="L217" s="19"/>
      <c r="M217" s="19"/>
      <c r="N217" s="19"/>
      <c r="O217" s="19"/>
      <c r="P217" s="118"/>
      <c r="Q217" s="118"/>
      <c r="R217" s="118"/>
      <c r="S217" s="118"/>
    </row>
    <row r="218" ht="15.75" customHeight="1">
      <c r="A218" s="126"/>
      <c r="E218" s="19"/>
      <c r="F218" s="19"/>
      <c r="G218" s="19"/>
      <c r="H218" s="19"/>
      <c r="I218" s="19"/>
      <c r="J218" s="118"/>
      <c r="K218" s="19"/>
      <c r="L218" s="19"/>
      <c r="M218" s="19"/>
      <c r="N218" s="19"/>
      <c r="O218" s="19"/>
      <c r="P218" s="118"/>
      <c r="Q218" s="118"/>
      <c r="R218" s="118"/>
      <c r="S218" s="118"/>
    </row>
    <row r="219" ht="15.75" customHeight="1">
      <c r="A219" s="126"/>
      <c r="E219" s="19"/>
      <c r="F219" s="19"/>
      <c r="G219" s="19"/>
      <c r="H219" s="19"/>
      <c r="I219" s="19"/>
      <c r="J219" s="118"/>
      <c r="K219" s="19"/>
      <c r="L219" s="19"/>
      <c r="M219" s="19"/>
      <c r="N219" s="19"/>
      <c r="O219" s="19"/>
      <c r="P219" s="118"/>
      <c r="Q219" s="118"/>
      <c r="R219" s="118"/>
      <c r="S219" s="118"/>
    </row>
    <row r="220" ht="15.75" customHeight="1">
      <c r="A220" s="126"/>
      <c r="E220" s="19"/>
      <c r="F220" s="19"/>
      <c r="G220" s="19"/>
      <c r="H220" s="19"/>
      <c r="I220" s="19"/>
      <c r="J220" s="118"/>
      <c r="K220" s="19"/>
      <c r="L220" s="19"/>
      <c r="M220" s="19"/>
      <c r="N220" s="19"/>
      <c r="O220" s="19"/>
      <c r="P220" s="118"/>
      <c r="Q220" s="118"/>
      <c r="R220" s="118"/>
      <c r="S220" s="118"/>
    </row>
    <row r="221" ht="15.75" customHeight="1">
      <c r="A221" s="126"/>
      <c r="E221" s="19"/>
      <c r="F221" s="19"/>
      <c r="G221" s="19"/>
      <c r="H221" s="19"/>
      <c r="I221" s="19"/>
      <c r="J221" s="118"/>
      <c r="K221" s="19"/>
      <c r="L221" s="19"/>
      <c r="M221" s="19"/>
      <c r="N221" s="19"/>
      <c r="O221" s="19"/>
      <c r="P221" s="118"/>
      <c r="Q221" s="118"/>
      <c r="R221" s="118"/>
      <c r="S221" s="118"/>
    </row>
    <row r="222" ht="15.75" customHeight="1">
      <c r="A222" s="126"/>
      <c r="E222" s="19"/>
      <c r="F222" s="19"/>
      <c r="G222" s="19"/>
      <c r="H222" s="19"/>
      <c r="I222" s="19"/>
      <c r="J222" s="118"/>
      <c r="K222" s="19"/>
      <c r="L222" s="19"/>
      <c r="M222" s="19"/>
      <c r="N222" s="19"/>
      <c r="O222" s="19"/>
      <c r="P222" s="118"/>
      <c r="Q222" s="118"/>
      <c r="R222" s="118"/>
      <c r="S222" s="118"/>
    </row>
    <row r="223" ht="15.75" customHeight="1">
      <c r="A223" s="126"/>
      <c r="E223" s="19"/>
      <c r="F223" s="19"/>
      <c r="G223" s="19"/>
      <c r="H223" s="19"/>
      <c r="I223" s="19"/>
      <c r="J223" s="118"/>
      <c r="K223" s="19"/>
      <c r="L223" s="19"/>
      <c r="M223" s="19"/>
      <c r="N223" s="19"/>
      <c r="O223" s="19"/>
      <c r="P223" s="118"/>
      <c r="Q223" s="118"/>
      <c r="R223" s="118"/>
      <c r="S223" s="118"/>
    </row>
    <row r="224" ht="15.75" customHeight="1">
      <c r="A224" s="126"/>
      <c r="E224" s="19"/>
      <c r="F224" s="19"/>
      <c r="G224" s="19"/>
      <c r="H224" s="19"/>
      <c r="I224" s="19"/>
      <c r="J224" s="118"/>
      <c r="K224" s="19"/>
      <c r="L224" s="19"/>
      <c r="M224" s="19"/>
      <c r="N224" s="19"/>
      <c r="O224" s="19"/>
      <c r="P224" s="118"/>
      <c r="Q224" s="118"/>
      <c r="R224" s="118"/>
      <c r="S224" s="118"/>
    </row>
    <row r="225" ht="15.75" customHeight="1">
      <c r="A225" s="126"/>
      <c r="E225" s="19"/>
      <c r="F225" s="19"/>
      <c r="G225" s="19"/>
      <c r="H225" s="19"/>
      <c r="I225" s="19"/>
      <c r="J225" s="118"/>
      <c r="K225" s="19"/>
      <c r="L225" s="19"/>
      <c r="M225" s="19"/>
      <c r="N225" s="19"/>
      <c r="O225" s="19"/>
      <c r="P225" s="118"/>
      <c r="Q225" s="118"/>
      <c r="R225" s="118"/>
      <c r="S225" s="118"/>
    </row>
    <row r="226" ht="15.75" customHeight="1">
      <c r="A226" s="126"/>
      <c r="E226" s="19"/>
      <c r="F226" s="19"/>
      <c r="G226" s="19"/>
      <c r="H226" s="19"/>
      <c r="I226" s="19"/>
      <c r="J226" s="118"/>
      <c r="K226" s="19"/>
      <c r="L226" s="19"/>
      <c r="M226" s="19"/>
      <c r="N226" s="19"/>
      <c r="O226" s="19"/>
      <c r="P226" s="118"/>
      <c r="Q226" s="118"/>
      <c r="R226" s="118"/>
      <c r="S226" s="118"/>
    </row>
    <row r="227" ht="15.75" customHeight="1">
      <c r="A227" s="126"/>
      <c r="E227" s="19"/>
      <c r="F227" s="19"/>
      <c r="G227" s="19"/>
      <c r="H227" s="19"/>
      <c r="I227" s="19"/>
      <c r="J227" s="118"/>
      <c r="K227" s="19"/>
      <c r="L227" s="19"/>
      <c r="M227" s="19"/>
      <c r="N227" s="19"/>
      <c r="O227" s="19"/>
      <c r="P227" s="118"/>
      <c r="Q227" s="118"/>
      <c r="R227" s="118"/>
      <c r="S227" s="118"/>
    </row>
    <row r="228" ht="15.75" customHeight="1">
      <c r="A228" s="126"/>
      <c r="E228" s="19"/>
      <c r="F228" s="19"/>
      <c r="G228" s="19"/>
      <c r="H228" s="19"/>
      <c r="I228" s="19"/>
      <c r="J228" s="118"/>
      <c r="K228" s="19"/>
      <c r="L228" s="19"/>
      <c r="M228" s="19"/>
      <c r="N228" s="19"/>
      <c r="O228" s="19"/>
      <c r="P228" s="118"/>
      <c r="Q228" s="118"/>
      <c r="R228" s="118"/>
      <c r="S228" s="118"/>
    </row>
    <row r="229" ht="15.75" customHeight="1">
      <c r="A229" s="126"/>
      <c r="E229" s="19"/>
      <c r="F229" s="19"/>
      <c r="G229" s="19"/>
      <c r="H229" s="19"/>
      <c r="I229" s="19"/>
      <c r="J229" s="118"/>
      <c r="K229" s="19"/>
      <c r="L229" s="19"/>
      <c r="M229" s="19"/>
      <c r="N229" s="19"/>
      <c r="O229" s="19"/>
      <c r="P229" s="118"/>
      <c r="Q229" s="118"/>
      <c r="R229" s="118"/>
      <c r="S229" s="118"/>
    </row>
    <row r="230" ht="15.75" customHeight="1">
      <c r="A230" s="126"/>
      <c r="E230" s="19"/>
      <c r="F230" s="19"/>
      <c r="G230" s="19"/>
      <c r="H230" s="19"/>
      <c r="I230" s="19"/>
      <c r="J230" s="118"/>
      <c r="K230" s="19"/>
      <c r="L230" s="19"/>
      <c r="M230" s="19"/>
      <c r="N230" s="19"/>
      <c r="O230" s="19"/>
      <c r="P230" s="118"/>
      <c r="Q230" s="118"/>
      <c r="R230" s="118"/>
      <c r="S230" s="118"/>
    </row>
    <row r="231" ht="15.75" customHeight="1">
      <c r="A231" s="126"/>
      <c r="E231" s="19"/>
      <c r="F231" s="19"/>
      <c r="G231" s="19"/>
      <c r="H231" s="19"/>
      <c r="I231" s="19"/>
      <c r="J231" s="118"/>
      <c r="K231" s="19"/>
      <c r="L231" s="19"/>
      <c r="M231" s="19"/>
      <c r="N231" s="19"/>
      <c r="O231" s="19"/>
      <c r="P231" s="118"/>
      <c r="Q231" s="118"/>
      <c r="R231" s="118"/>
      <c r="S231" s="118"/>
    </row>
    <row r="232" ht="15.75" customHeight="1">
      <c r="A232" s="126"/>
      <c r="E232" s="19"/>
      <c r="F232" s="19"/>
      <c r="G232" s="19"/>
      <c r="H232" s="19"/>
      <c r="I232" s="19"/>
      <c r="J232" s="118"/>
      <c r="K232" s="19"/>
      <c r="L232" s="19"/>
      <c r="M232" s="19"/>
      <c r="N232" s="19"/>
      <c r="O232" s="19"/>
      <c r="P232" s="118"/>
      <c r="Q232" s="118"/>
      <c r="R232" s="118"/>
      <c r="S232" s="118"/>
    </row>
    <row r="233" ht="15.75" customHeight="1">
      <c r="A233" s="126"/>
      <c r="E233" s="19"/>
      <c r="F233" s="19"/>
      <c r="G233" s="19"/>
      <c r="H233" s="19"/>
      <c r="I233" s="19"/>
      <c r="J233" s="118"/>
      <c r="K233" s="19"/>
      <c r="L233" s="19"/>
      <c r="M233" s="19"/>
      <c r="N233" s="19"/>
      <c r="O233" s="19"/>
      <c r="P233" s="118"/>
      <c r="Q233" s="118"/>
      <c r="R233" s="118"/>
      <c r="S233" s="118"/>
    </row>
    <row r="234" ht="15.75" customHeight="1">
      <c r="A234" s="126"/>
      <c r="E234" s="19"/>
      <c r="F234" s="19"/>
      <c r="G234" s="19"/>
      <c r="H234" s="19"/>
      <c r="I234" s="19"/>
      <c r="J234" s="118"/>
      <c r="K234" s="19"/>
      <c r="L234" s="19"/>
      <c r="M234" s="19"/>
      <c r="N234" s="19"/>
      <c r="O234" s="19"/>
      <c r="P234" s="118"/>
      <c r="Q234" s="118"/>
      <c r="R234" s="118"/>
      <c r="S234" s="118"/>
    </row>
    <row r="235" ht="15.75" customHeight="1">
      <c r="A235" s="126"/>
      <c r="E235" s="19"/>
      <c r="F235" s="19"/>
      <c r="G235" s="19"/>
      <c r="H235" s="19"/>
      <c r="I235" s="19"/>
      <c r="J235" s="118"/>
      <c r="K235" s="19"/>
      <c r="L235" s="19"/>
      <c r="M235" s="19"/>
      <c r="N235" s="19"/>
      <c r="O235" s="19"/>
      <c r="P235" s="118"/>
      <c r="Q235" s="118"/>
      <c r="R235" s="118"/>
      <c r="S235" s="118"/>
    </row>
    <row r="236" ht="15.75" customHeight="1">
      <c r="A236" s="126"/>
      <c r="E236" s="19"/>
      <c r="F236" s="19"/>
      <c r="G236" s="19"/>
      <c r="H236" s="19"/>
      <c r="I236" s="19"/>
      <c r="J236" s="118"/>
      <c r="K236" s="19"/>
      <c r="L236" s="19"/>
      <c r="M236" s="19"/>
      <c r="N236" s="19"/>
      <c r="O236" s="19"/>
      <c r="P236" s="118"/>
      <c r="Q236" s="118"/>
      <c r="R236" s="118"/>
      <c r="S236" s="118"/>
    </row>
    <row r="237" ht="15.75" customHeight="1">
      <c r="A237" s="126"/>
      <c r="E237" s="19"/>
      <c r="F237" s="19"/>
      <c r="G237" s="19"/>
      <c r="H237" s="19"/>
      <c r="I237" s="19"/>
      <c r="J237" s="118"/>
      <c r="K237" s="19"/>
      <c r="L237" s="19"/>
      <c r="M237" s="19"/>
      <c r="N237" s="19"/>
      <c r="O237" s="19"/>
      <c r="P237" s="118"/>
      <c r="Q237" s="118"/>
      <c r="R237" s="118"/>
      <c r="S237" s="118"/>
    </row>
    <row r="238" ht="15.75" customHeight="1">
      <c r="A238" s="126"/>
      <c r="E238" s="19"/>
      <c r="F238" s="19"/>
      <c r="G238" s="19"/>
      <c r="H238" s="19"/>
      <c r="I238" s="19"/>
      <c r="J238" s="118"/>
      <c r="K238" s="19"/>
      <c r="L238" s="19"/>
      <c r="M238" s="19"/>
      <c r="N238" s="19"/>
      <c r="O238" s="19"/>
      <c r="P238" s="118"/>
      <c r="Q238" s="118"/>
      <c r="R238" s="118"/>
      <c r="S238" s="118"/>
    </row>
    <row r="239" ht="15.75" customHeight="1">
      <c r="A239" s="126"/>
      <c r="E239" s="19"/>
      <c r="F239" s="19"/>
      <c r="G239" s="19"/>
      <c r="H239" s="19"/>
      <c r="I239" s="19"/>
      <c r="J239" s="118"/>
      <c r="K239" s="19"/>
      <c r="L239" s="19"/>
      <c r="M239" s="19"/>
      <c r="N239" s="19"/>
      <c r="O239" s="19"/>
      <c r="P239" s="118"/>
      <c r="Q239" s="118"/>
      <c r="R239" s="118"/>
      <c r="S239" s="118"/>
    </row>
    <row r="240" ht="15.75" customHeight="1">
      <c r="A240" s="126"/>
      <c r="E240" s="19"/>
      <c r="F240" s="19"/>
      <c r="G240" s="19"/>
      <c r="H240" s="19"/>
      <c r="I240" s="19"/>
      <c r="J240" s="118"/>
      <c r="K240" s="19"/>
      <c r="L240" s="19"/>
      <c r="M240" s="19"/>
      <c r="N240" s="19"/>
      <c r="O240" s="19"/>
      <c r="P240" s="118"/>
      <c r="Q240" s="118"/>
      <c r="R240" s="118"/>
      <c r="S240" s="118"/>
    </row>
    <row r="241" ht="15.75" customHeight="1">
      <c r="A241" s="126"/>
      <c r="E241" s="19"/>
      <c r="F241" s="19"/>
      <c r="G241" s="19"/>
      <c r="H241" s="19"/>
      <c r="I241" s="19"/>
      <c r="J241" s="118"/>
      <c r="K241" s="19"/>
      <c r="L241" s="19"/>
      <c r="M241" s="19"/>
      <c r="N241" s="19"/>
      <c r="O241" s="19"/>
      <c r="P241" s="118"/>
      <c r="Q241" s="118"/>
      <c r="R241" s="118"/>
      <c r="S241" s="118"/>
    </row>
    <row r="242" ht="15.75" customHeight="1">
      <c r="A242" s="126"/>
      <c r="E242" s="19"/>
      <c r="F242" s="19"/>
      <c r="G242" s="19"/>
      <c r="H242" s="19"/>
      <c r="I242" s="19"/>
      <c r="J242" s="118"/>
      <c r="K242" s="19"/>
      <c r="L242" s="19"/>
      <c r="M242" s="19"/>
      <c r="N242" s="19"/>
      <c r="O242" s="19"/>
      <c r="P242" s="118"/>
      <c r="Q242" s="118"/>
      <c r="R242" s="118"/>
      <c r="S242" s="118"/>
    </row>
    <row r="243" ht="15.75" customHeight="1">
      <c r="A243" s="126"/>
      <c r="E243" s="19"/>
      <c r="F243" s="19"/>
      <c r="G243" s="19"/>
      <c r="H243" s="19"/>
      <c r="I243" s="19"/>
      <c r="J243" s="118"/>
      <c r="K243" s="19"/>
      <c r="L243" s="19"/>
      <c r="M243" s="19"/>
      <c r="N243" s="19"/>
      <c r="O243" s="19"/>
      <c r="P243" s="118"/>
      <c r="Q243" s="118"/>
      <c r="R243" s="118"/>
      <c r="S243" s="118"/>
    </row>
    <row r="244" ht="15.75" customHeight="1">
      <c r="A244" s="126"/>
      <c r="E244" s="19"/>
      <c r="F244" s="19"/>
      <c r="G244" s="19"/>
      <c r="H244" s="19"/>
      <c r="I244" s="19"/>
      <c r="J244" s="118"/>
      <c r="K244" s="19"/>
      <c r="L244" s="19"/>
      <c r="M244" s="19"/>
      <c r="N244" s="19"/>
      <c r="O244" s="19"/>
      <c r="P244" s="118"/>
      <c r="Q244" s="118"/>
      <c r="R244" s="118"/>
      <c r="S244" s="118"/>
    </row>
    <row r="245" ht="15.75" customHeight="1">
      <c r="A245" s="126"/>
      <c r="E245" s="19"/>
      <c r="F245" s="19"/>
      <c r="G245" s="19"/>
      <c r="H245" s="19"/>
      <c r="I245" s="19"/>
      <c r="J245" s="118"/>
      <c r="K245" s="19"/>
      <c r="L245" s="19"/>
      <c r="M245" s="19"/>
      <c r="N245" s="19"/>
      <c r="O245" s="19"/>
      <c r="P245" s="118"/>
      <c r="Q245" s="118"/>
      <c r="R245" s="118"/>
      <c r="S245" s="118"/>
    </row>
    <row r="246" ht="15.75" customHeight="1">
      <c r="A246" s="126"/>
      <c r="E246" s="19"/>
      <c r="F246" s="19"/>
      <c r="G246" s="19"/>
      <c r="H246" s="19"/>
      <c r="I246" s="19"/>
      <c r="J246" s="118"/>
      <c r="K246" s="19"/>
      <c r="L246" s="19"/>
      <c r="M246" s="19"/>
      <c r="N246" s="19"/>
      <c r="O246" s="19"/>
      <c r="P246" s="118"/>
      <c r="Q246" s="118"/>
      <c r="R246" s="118"/>
      <c r="S246" s="118"/>
    </row>
    <row r="247" ht="15.75" customHeight="1">
      <c r="A247" s="126"/>
      <c r="E247" s="19"/>
      <c r="F247" s="19"/>
      <c r="G247" s="19"/>
      <c r="H247" s="19"/>
      <c r="I247" s="19"/>
      <c r="J247" s="118"/>
      <c r="K247" s="19"/>
      <c r="L247" s="19"/>
      <c r="M247" s="19"/>
      <c r="N247" s="19"/>
      <c r="O247" s="19"/>
      <c r="P247" s="118"/>
      <c r="Q247" s="118"/>
      <c r="R247" s="118"/>
      <c r="S247" s="118"/>
    </row>
    <row r="248" ht="15.75" customHeight="1">
      <c r="A248" s="126"/>
      <c r="E248" s="19"/>
      <c r="F248" s="19"/>
      <c r="G248" s="19"/>
      <c r="H248" s="19"/>
      <c r="I248" s="19"/>
      <c r="J248" s="118"/>
      <c r="K248" s="19"/>
      <c r="L248" s="19"/>
      <c r="M248" s="19"/>
      <c r="N248" s="19"/>
      <c r="O248" s="19"/>
      <c r="P248" s="118"/>
      <c r="Q248" s="118"/>
      <c r="R248" s="118"/>
      <c r="S248" s="118"/>
    </row>
    <row r="249" ht="15.75" customHeight="1">
      <c r="A249" s="126"/>
      <c r="E249" s="19"/>
      <c r="F249" s="19"/>
      <c r="G249" s="19"/>
      <c r="H249" s="19"/>
      <c r="I249" s="19"/>
      <c r="J249" s="118"/>
      <c r="K249" s="19"/>
      <c r="L249" s="19"/>
      <c r="M249" s="19"/>
      <c r="N249" s="19"/>
      <c r="O249" s="19"/>
      <c r="P249" s="118"/>
      <c r="Q249" s="118"/>
      <c r="R249" s="118"/>
      <c r="S249" s="118"/>
    </row>
    <row r="250" ht="15.75" customHeight="1">
      <c r="A250" s="126"/>
      <c r="E250" s="19"/>
      <c r="F250" s="19"/>
      <c r="G250" s="19"/>
      <c r="H250" s="19"/>
      <c r="I250" s="19"/>
      <c r="J250" s="118"/>
      <c r="K250" s="19"/>
      <c r="L250" s="19"/>
      <c r="M250" s="19"/>
      <c r="N250" s="19"/>
      <c r="O250" s="19"/>
      <c r="P250" s="118"/>
      <c r="Q250" s="118"/>
      <c r="R250" s="118"/>
      <c r="S250" s="118"/>
    </row>
    <row r="251" ht="15.75" customHeight="1">
      <c r="A251" s="126"/>
      <c r="E251" s="19"/>
      <c r="F251" s="19"/>
      <c r="G251" s="19"/>
      <c r="H251" s="19"/>
      <c r="I251" s="19"/>
      <c r="J251" s="118"/>
      <c r="K251" s="19"/>
      <c r="L251" s="19"/>
      <c r="M251" s="19"/>
      <c r="N251" s="19"/>
      <c r="O251" s="19"/>
      <c r="P251" s="118"/>
      <c r="Q251" s="118"/>
      <c r="R251" s="118"/>
      <c r="S251" s="118"/>
    </row>
    <row r="252" ht="15.75" customHeight="1">
      <c r="A252" s="126"/>
      <c r="E252" s="19"/>
      <c r="F252" s="19"/>
      <c r="G252" s="19"/>
      <c r="H252" s="19"/>
      <c r="I252" s="19"/>
      <c r="J252" s="118"/>
      <c r="K252" s="19"/>
      <c r="L252" s="19"/>
      <c r="M252" s="19"/>
      <c r="N252" s="19"/>
      <c r="O252" s="19"/>
      <c r="P252" s="118"/>
      <c r="Q252" s="118"/>
      <c r="R252" s="118"/>
      <c r="S252" s="118"/>
    </row>
    <row r="253" ht="15.75" customHeight="1">
      <c r="A253" s="126"/>
      <c r="E253" s="19"/>
      <c r="F253" s="19"/>
      <c r="G253" s="19"/>
      <c r="H253" s="19"/>
      <c r="I253" s="19"/>
      <c r="J253" s="118"/>
      <c r="K253" s="19"/>
      <c r="L253" s="19"/>
      <c r="M253" s="19"/>
      <c r="N253" s="19"/>
      <c r="O253" s="19"/>
      <c r="P253" s="118"/>
      <c r="Q253" s="118"/>
      <c r="R253" s="118"/>
      <c r="S253" s="118"/>
    </row>
    <row r="254" ht="15.75" customHeight="1">
      <c r="A254" s="126"/>
      <c r="E254" s="19"/>
      <c r="F254" s="19"/>
      <c r="G254" s="19"/>
      <c r="H254" s="19"/>
      <c r="I254" s="19"/>
      <c r="J254" s="118"/>
      <c r="K254" s="19"/>
      <c r="L254" s="19"/>
      <c r="M254" s="19"/>
      <c r="N254" s="19"/>
      <c r="O254" s="19"/>
      <c r="P254" s="118"/>
      <c r="Q254" s="118"/>
      <c r="R254" s="118"/>
      <c r="S254" s="118"/>
    </row>
    <row r="255" ht="15.75" customHeight="1">
      <c r="A255" s="126"/>
      <c r="E255" s="19"/>
      <c r="F255" s="19"/>
      <c r="G255" s="19"/>
      <c r="H255" s="19"/>
      <c r="I255" s="19"/>
      <c r="J255" s="118"/>
      <c r="K255" s="19"/>
      <c r="L255" s="19"/>
      <c r="M255" s="19"/>
      <c r="N255" s="19"/>
      <c r="O255" s="19"/>
      <c r="P255" s="118"/>
      <c r="Q255" s="118"/>
      <c r="R255" s="118"/>
      <c r="S255" s="118"/>
    </row>
    <row r="256" ht="15.75" customHeight="1">
      <c r="A256" s="126"/>
      <c r="E256" s="19"/>
      <c r="F256" s="19"/>
      <c r="G256" s="19"/>
      <c r="H256" s="19"/>
      <c r="I256" s="19"/>
      <c r="J256" s="118"/>
      <c r="K256" s="19"/>
      <c r="L256" s="19"/>
      <c r="M256" s="19"/>
      <c r="N256" s="19"/>
      <c r="O256" s="19"/>
      <c r="P256" s="118"/>
      <c r="Q256" s="118"/>
      <c r="R256" s="118"/>
      <c r="S256" s="118"/>
    </row>
    <row r="257" ht="15.75" customHeight="1">
      <c r="A257" s="126"/>
      <c r="E257" s="19"/>
      <c r="F257" s="19"/>
      <c r="G257" s="19"/>
      <c r="H257" s="19"/>
      <c r="I257" s="19"/>
      <c r="J257" s="118"/>
      <c r="K257" s="19"/>
      <c r="L257" s="19"/>
      <c r="M257" s="19"/>
      <c r="N257" s="19"/>
      <c r="O257" s="19"/>
      <c r="P257" s="118"/>
      <c r="Q257" s="118"/>
      <c r="R257" s="118"/>
      <c r="S257" s="118"/>
    </row>
    <row r="258" ht="15.75" customHeight="1">
      <c r="A258" s="126"/>
      <c r="E258" s="19"/>
      <c r="F258" s="19"/>
      <c r="G258" s="19"/>
      <c r="H258" s="19"/>
      <c r="I258" s="19"/>
      <c r="J258" s="118"/>
      <c r="K258" s="19"/>
      <c r="L258" s="19"/>
      <c r="M258" s="19"/>
      <c r="N258" s="19"/>
      <c r="O258" s="19"/>
      <c r="P258" s="118"/>
      <c r="Q258" s="118"/>
      <c r="R258" s="118"/>
      <c r="S258" s="118"/>
    </row>
    <row r="259" ht="15.75" customHeight="1">
      <c r="A259" s="126"/>
      <c r="E259" s="19"/>
      <c r="F259" s="19"/>
      <c r="G259" s="19"/>
      <c r="H259" s="19"/>
      <c r="I259" s="19"/>
      <c r="J259" s="118"/>
      <c r="K259" s="19"/>
      <c r="L259" s="19"/>
      <c r="M259" s="19"/>
      <c r="N259" s="19"/>
      <c r="O259" s="19"/>
      <c r="P259" s="118"/>
      <c r="Q259" s="118"/>
      <c r="R259" s="118"/>
      <c r="S259" s="118"/>
    </row>
    <row r="260" ht="15.75" customHeight="1">
      <c r="A260" s="126"/>
      <c r="E260" s="19"/>
      <c r="F260" s="19"/>
      <c r="G260" s="19"/>
      <c r="H260" s="19"/>
      <c r="I260" s="19"/>
      <c r="J260" s="118"/>
      <c r="K260" s="19"/>
      <c r="L260" s="19"/>
      <c r="M260" s="19"/>
      <c r="N260" s="19"/>
      <c r="O260" s="19"/>
      <c r="P260" s="118"/>
      <c r="Q260" s="118"/>
      <c r="R260" s="118"/>
      <c r="S260" s="118"/>
    </row>
    <row r="261" ht="15.75" customHeight="1">
      <c r="A261" s="126"/>
      <c r="E261" s="19"/>
      <c r="F261" s="19"/>
      <c r="G261" s="19"/>
      <c r="H261" s="19"/>
      <c r="I261" s="19"/>
      <c r="J261" s="118"/>
      <c r="K261" s="19"/>
      <c r="L261" s="19"/>
      <c r="M261" s="19"/>
      <c r="N261" s="19"/>
      <c r="O261" s="19"/>
      <c r="P261" s="118"/>
      <c r="Q261" s="118"/>
      <c r="R261" s="118"/>
      <c r="S261" s="118"/>
    </row>
    <row r="262" ht="15.75" customHeight="1">
      <c r="A262" s="126"/>
      <c r="E262" s="19"/>
      <c r="F262" s="19"/>
      <c r="G262" s="19"/>
      <c r="H262" s="19"/>
      <c r="I262" s="19"/>
      <c r="J262" s="118"/>
      <c r="K262" s="19"/>
      <c r="L262" s="19"/>
      <c r="M262" s="19"/>
      <c r="N262" s="19"/>
      <c r="O262" s="19"/>
      <c r="P262" s="118"/>
      <c r="Q262" s="118"/>
      <c r="R262" s="118"/>
      <c r="S262" s="118"/>
    </row>
    <row r="263" ht="15.75" customHeight="1">
      <c r="A263" s="126"/>
      <c r="E263" s="19"/>
      <c r="F263" s="19"/>
      <c r="G263" s="19"/>
      <c r="H263" s="19"/>
      <c r="I263" s="19"/>
      <c r="J263" s="118"/>
      <c r="K263" s="19"/>
      <c r="L263" s="19"/>
      <c r="M263" s="19"/>
      <c r="N263" s="19"/>
      <c r="O263" s="19"/>
      <c r="P263" s="118"/>
      <c r="Q263" s="118"/>
      <c r="R263" s="118"/>
      <c r="S263" s="118"/>
    </row>
    <row r="264" ht="15.75" customHeight="1">
      <c r="A264" s="126"/>
      <c r="E264" s="19"/>
      <c r="F264" s="19"/>
      <c r="G264" s="19"/>
      <c r="H264" s="19"/>
      <c r="I264" s="19"/>
      <c r="J264" s="118"/>
      <c r="K264" s="19"/>
      <c r="L264" s="19"/>
      <c r="M264" s="19"/>
      <c r="N264" s="19"/>
      <c r="O264" s="19"/>
      <c r="P264" s="118"/>
      <c r="Q264" s="118"/>
      <c r="R264" s="118"/>
      <c r="S264" s="118"/>
    </row>
    <row r="265" ht="15.75" customHeight="1">
      <c r="A265" s="126"/>
      <c r="E265" s="19"/>
      <c r="F265" s="19"/>
      <c r="G265" s="19"/>
      <c r="H265" s="19"/>
      <c r="I265" s="19"/>
      <c r="J265" s="118"/>
      <c r="K265" s="19"/>
      <c r="L265" s="19"/>
      <c r="M265" s="19"/>
      <c r="N265" s="19"/>
      <c r="O265" s="19"/>
      <c r="P265" s="118"/>
      <c r="Q265" s="118"/>
      <c r="R265" s="118"/>
      <c r="S265" s="118"/>
    </row>
    <row r="266" ht="15.75" customHeight="1">
      <c r="A266" s="126"/>
      <c r="E266" s="19"/>
      <c r="F266" s="19"/>
      <c r="G266" s="19"/>
      <c r="H266" s="19"/>
      <c r="I266" s="19"/>
      <c r="J266" s="118"/>
      <c r="K266" s="19"/>
      <c r="L266" s="19"/>
      <c r="M266" s="19"/>
      <c r="N266" s="19"/>
      <c r="O266" s="19"/>
      <c r="P266" s="118"/>
      <c r="Q266" s="118"/>
      <c r="R266" s="118"/>
      <c r="S266" s="118"/>
    </row>
    <row r="267" ht="15.75" customHeight="1">
      <c r="A267" s="126"/>
      <c r="E267" s="19"/>
      <c r="F267" s="19"/>
      <c r="G267" s="19"/>
      <c r="H267" s="19"/>
      <c r="I267" s="19"/>
      <c r="J267" s="118"/>
      <c r="K267" s="19"/>
      <c r="L267" s="19"/>
      <c r="M267" s="19"/>
      <c r="N267" s="19"/>
      <c r="O267" s="19"/>
      <c r="P267" s="118"/>
      <c r="Q267" s="118"/>
      <c r="R267" s="118"/>
      <c r="S267" s="118"/>
    </row>
    <row r="268" ht="15.75" customHeight="1">
      <c r="A268" s="126"/>
      <c r="E268" s="19"/>
      <c r="F268" s="19"/>
      <c r="G268" s="19"/>
      <c r="H268" s="19"/>
      <c r="I268" s="19"/>
      <c r="J268" s="118"/>
      <c r="K268" s="19"/>
      <c r="L268" s="19"/>
      <c r="M268" s="19"/>
      <c r="N268" s="19"/>
      <c r="O268" s="19"/>
      <c r="P268" s="118"/>
      <c r="Q268" s="118"/>
      <c r="R268" s="118"/>
      <c r="S268" s="118"/>
    </row>
    <row r="269" ht="15.75" customHeight="1">
      <c r="A269" s="126"/>
      <c r="E269" s="19"/>
      <c r="F269" s="19"/>
      <c r="G269" s="19"/>
      <c r="H269" s="19"/>
      <c r="I269" s="19"/>
      <c r="J269" s="118"/>
      <c r="K269" s="19"/>
      <c r="L269" s="19"/>
      <c r="M269" s="19"/>
      <c r="N269" s="19"/>
      <c r="O269" s="19"/>
      <c r="P269" s="118"/>
      <c r="Q269" s="118"/>
      <c r="R269" s="118"/>
      <c r="S269" s="118"/>
    </row>
    <row r="270" ht="15.75" customHeight="1">
      <c r="A270" s="126"/>
      <c r="E270" s="19"/>
      <c r="F270" s="19"/>
      <c r="G270" s="19"/>
      <c r="H270" s="19"/>
      <c r="I270" s="19"/>
      <c r="J270" s="118"/>
      <c r="K270" s="19"/>
      <c r="L270" s="19"/>
      <c r="M270" s="19"/>
      <c r="N270" s="19"/>
      <c r="O270" s="19"/>
      <c r="P270" s="118"/>
      <c r="Q270" s="118"/>
      <c r="R270" s="118"/>
      <c r="S270" s="118"/>
    </row>
    <row r="271" ht="15.75" customHeight="1">
      <c r="A271" s="126"/>
      <c r="E271" s="19"/>
      <c r="F271" s="19"/>
      <c r="G271" s="19"/>
      <c r="H271" s="19"/>
      <c r="I271" s="19"/>
      <c r="J271" s="118"/>
      <c r="K271" s="19"/>
      <c r="L271" s="19"/>
      <c r="M271" s="19"/>
      <c r="N271" s="19"/>
      <c r="O271" s="19"/>
      <c r="P271" s="118"/>
      <c r="Q271" s="118"/>
      <c r="R271" s="118"/>
      <c r="S271" s="118"/>
    </row>
    <row r="272" ht="15.75" customHeight="1">
      <c r="A272" s="126"/>
      <c r="E272" s="19"/>
      <c r="F272" s="19"/>
      <c r="G272" s="19"/>
      <c r="H272" s="19"/>
      <c r="I272" s="19"/>
      <c r="J272" s="118"/>
      <c r="K272" s="19"/>
      <c r="L272" s="19"/>
      <c r="M272" s="19"/>
      <c r="N272" s="19"/>
      <c r="O272" s="19"/>
      <c r="P272" s="118"/>
      <c r="Q272" s="118"/>
      <c r="R272" s="118"/>
      <c r="S272" s="118"/>
    </row>
    <row r="273" ht="15.75" customHeight="1">
      <c r="A273" s="126"/>
      <c r="E273" s="19"/>
      <c r="F273" s="19"/>
      <c r="G273" s="19"/>
      <c r="H273" s="19"/>
      <c r="I273" s="19"/>
      <c r="J273" s="118"/>
      <c r="K273" s="19"/>
      <c r="L273" s="19"/>
      <c r="M273" s="19"/>
      <c r="N273" s="19"/>
      <c r="O273" s="19"/>
      <c r="P273" s="118"/>
      <c r="Q273" s="118"/>
      <c r="R273" s="118"/>
      <c r="S273" s="118"/>
    </row>
    <row r="274" ht="15.75" customHeight="1">
      <c r="A274" s="126"/>
      <c r="E274" s="19"/>
      <c r="F274" s="19"/>
      <c r="G274" s="19"/>
      <c r="H274" s="19"/>
      <c r="I274" s="19"/>
      <c r="J274" s="118"/>
      <c r="K274" s="19"/>
      <c r="L274" s="19"/>
      <c r="M274" s="19"/>
      <c r="N274" s="19"/>
      <c r="O274" s="19"/>
      <c r="P274" s="118"/>
      <c r="Q274" s="118"/>
      <c r="R274" s="118"/>
      <c r="S274" s="118"/>
    </row>
    <row r="275" ht="15.75" customHeight="1">
      <c r="A275" s="126"/>
      <c r="E275" s="19"/>
      <c r="F275" s="19"/>
      <c r="G275" s="19"/>
      <c r="H275" s="19"/>
      <c r="I275" s="19"/>
      <c r="J275" s="118"/>
      <c r="K275" s="19"/>
      <c r="L275" s="19"/>
      <c r="M275" s="19"/>
      <c r="N275" s="19"/>
      <c r="O275" s="19"/>
      <c r="P275" s="118"/>
      <c r="Q275" s="118"/>
      <c r="R275" s="118"/>
      <c r="S275" s="118"/>
    </row>
    <row r="276" ht="15.75" customHeight="1">
      <c r="A276" s="126"/>
      <c r="E276" s="19"/>
      <c r="F276" s="19"/>
      <c r="G276" s="19"/>
      <c r="H276" s="19"/>
      <c r="I276" s="19"/>
      <c r="J276" s="118"/>
      <c r="K276" s="19"/>
      <c r="L276" s="19"/>
      <c r="M276" s="19"/>
      <c r="N276" s="19"/>
      <c r="O276" s="19"/>
      <c r="P276" s="118"/>
      <c r="Q276" s="118"/>
      <c r="R276" s="118"/>
      <c r="S276" s="118"/>
    </row>
    <row r="277" ht="15.75" customHeight="1">
      <c r="A277" s="126"/>
      <c r="E277" s="19"/>
      <c r="F277" s="19"/>
      <c r="G277" s="19"/>
      <c r="H277" s="19"/>
      <c r="I277" s="19"/>
      <c r="J277" s="118"/>
      <c r="K277" s="19"/>
      <c r="L277" s="19"/>
      <c r="M277" s="19"/>
      <c r="N277" s="19"/>
      <c r="O277" s="19"/>
      <c r="P277" s="118"/>
      <c r="Q277" s="118"/>
      <c r="R277" s="118"/>
      <c r="S277" s="118"/>
    </row>
    <row r="278" ht="15.75" customHeight="1">
      <c r="A278" s="126"/>
      <c r="E278" s="19"/>
      <c r="F278" s="19"/>
      <c r="G278" s="19"/>
      <c r="H278" s="19"/>
      <c r="I278" s="19"/>
      <c r="J278" s="118"/>
      <c r="K278" s="19"/>
      <c r="L278" s="19"/>
      <c r="M278" s="19"/>
      <c r="N278" s="19"/>
      <c r="O278" s="19"/>
      <c r="P278" s="118"/>
      <c r="Q278" s="118"/>
      <c r="R278" s="118"/>
      <c r="S278" s="118"/>
    </row>
    <row r="279" ht="15.75" customHeight="1">
      <c r="A279" s="126"/>
      <c r="E279" s="19"/>
      <c r="F279" s="19"/>
      <c r="G279" s="19"/>
      <c r="H279" s="19"/>
      <c r="I279" s="19"/>
      <c r="J279" s="118"/>
      <c r="K279" s="19"/>
      <c r="L279" s="19"/>
      <c r="M279" s="19"/>
      <c r="N279" s="19"/>
      <c r="O279" s="19"/>
      <c r="P279" s="118"/>
      <c r="Q279" s="118"/>
      <c r="R279" s="118"/>
      <c r="S279" s="118"/>
    </row>
    <row r="280" ht="15.75" customHeight="1">
      <c r="A280" s="126"/>
      <c r="E280" s="19"/>
      <c r="F280" s="19"/>
      <c r="G280" s="19"/>
      <c r="H280" s="19"/>
      <c r="I280" s="19"/>
      <c r="J280" s="118"/>
      <c r="K280" s="19"/>
      <c r="L280" s="19"/>
      <c r="M280" s="19"/>
      <c r="N280" s="19"/>
      <c r="O280" s="19"/>
      <c r="P280" s="118"/>
      <c r="Q280" s="118"/>
      <c r="R280" s="118"/>
      <c r="S280" s="118"/>
    </row>
    <row r="281" ht="15.75" customHeight="1">
      <c r="A281" s="126"/>
      <c r="E281" s="19"/>
      <c r="F281" s="19"/>
      <c r="G281" s="19"/>
      <c r="H281" s="19"/>
      <c r="I281" s="19"/>
      <c r="J281" s="118"/>
      <c r="K281" s="19"/>
      <c r="L281" s="19"/>
      <c r="M281" s="19"/>
      <c r="N281" s="19"/>
      <c r="O281" s="19"/>
      <c r="P281" s="118"/>
      <c r="Q281" s="118"/>
      <c r="R281" s="118"/>
      <c r="S281" s="118"/>
    </row>
    <row r="282" ht="15.75" customHeight="1">
      <c r="A282" s="126"/>
      <c r="E282" s="19"/>
      <c r="F282" s="19"/>
      <c r="G282" s="19"/>
      <c r="H282" s="19"/>
      <c r="I282" s="19"/>
      <c r="J282" s="118"/>
      <c r="K282" s="19"/>
      <c r="L282" s="19"/>
      <c r="M282" s="19"/>
      <c r="N282" s="19"/>
      <c r="O282" s="19"/>
      <c r="P282" s="118"/>
      <c r="Q282" s="118"/>
      <c r="R282" s="118"/>
      <c r="S282" s="118"/>
    </row>
    <row r="283" ht="15.75" customHeight="1">
      <c r="A283" s="126"/>
      <c r="E283" s="19"/>
      <c r="F283" s="19"/>
      <c r="G283" s="19"/>
      <c r="H283" s="19"/>
      <c r="I283" s="19"/>
      <c r="J283" s="118"/>
      <c r="K283" s="19"/>
      <c r="L283" s="19"/>
      <c r="M283" s="19"/>
      <c r="N283" s="19"/>
      <c r="O283" s="19"/>
      <c r="P283" s="118"/>
      <c r="Q283" s="118"/>
      <c r="R283" s="118"/>
      <c r="S283" s="118"/>
    </row>
    <row r="284" ht="15.75" customHeight="1">
      <c r="A284" s="126"/>
      <c r="E284" s="19"/>
      <c r="F284" s="19"/>
      <c r="G284" s="19"/>
      <c r="H284" s="19"/>
      <c r="I284" s="19"/>
      <c r="J284" s="118"/>
      <c r="K284" s="19"/>
      <c r="L284" s="19"/>
      <c r="M284" s="19"/>
      <c r="N284" s="19"/>
      <c r="O284" s="19"/>
      <c r="P284" s="118"/>
      <c r="Q284" s="118"/>
      <c r="R284" s="118"/>
      <c r="S284" s="118"/>
    </row>
    <row r="285" ht="15.75" customHeight="1">
      <c r="A285" s="126"/>
      <c r="E285" s="19"/>
      <c r="F285" s="19"/>
      <c r="G285" s="19"/>
      <c r="H285" s="19"/>
      <c r="I285" s="19"/>
      <c r="J285" s="118"/>
      <c r="K285" s="19"/>
      <c r="L285" s="19"/>
      <c r="M285" s="19"/>
      <c r="N285" s="19"/>
      <c r="O285" s="19"/>
      <c r="P285" s="118"/>
      <c r="Q285" s="118"/>
      <c r="R285" s="118"/>
      <c r="S285" s="118"/>
    </row>
    <row r="286" ht="15.75" customHeight="1">
      <c r="A286" s="126"/>
      <c r="E286" s="19"/>
      <c r="F286" s="19"/>
      <c r="G286" s="19"/>
      <c r="H286" s="19"/>
      <c r="I286" s="19"/>
      <c r="J286" s="118"/>
      <c r="K286" s="19"/>
      <c r="L286" s="19"/>
      <c r="M286" s="19"/>
      <c r="N286" s="19"/>
      <c r="O286" s="19"/>
      <c r="P286" s="118"/>
      <c r="Q286" s="118"/>
      <c r="R286" s="118"/>
      <c r="S286" s="118"/>
    </row>
    <row r="287" ht="15.75" customHeight="1">
      <c r="A287" s="126"/>
      <c r="E287" s="19"/>
      <c r="F287" s="19"/>
      <c r="G287" s="19"/>
      <c r="H287" s="19"/>
      <c r="I287" s="19"/>
      <c r="J287" s="118"/>
      <c r="K287" s="19"/>
      <c r="L287" s="19"/>
      <c r="M287" s="19"/>
      <c r="N287" s="19"/>
      <c r="O287" s="19"/>
      <c r="P287" s="118"/>
      <c r="Q287" s="118"/>
      <c r="R287" s="118"/>
      <c r="S287" s="118"/>
    </row>
    <row r="288" ht="15.75" customHeight="1">
      <c r="A288" s="126"/>
      <c r="E288" s="19"/>
      <c r="F288" s="19"/>
      <c r="G288" s="19"/>
      <c r="H288" s="19"/>
      <c r="I288" s="19"/>
      <c r="J288" s="118"/>
      <c r="K288" s="19"/>
      <c r="L288" s="19"/>
      <c r="M288" s="19"/>
      <c r="N288" s="19"/>
      <c r="O288" s="19"/>
      <c r="P288" s="118"/>
      <c r="Q288" s="118"/>
      <c r="R288" s="118"/>
      <c r="S288" s="118"/>
    </row>
    <row r="289" ht="15.75" customHeight="1">
      <c r="A289" s="126"/>
      <c r="E289" s="19"/>
      <c r="F289" s="19"/>
      <c r="G289" s="19"/>
      <c r="H289" s="19"/>
      <c r="I289" s="19"/>
      <c r="J289" s="118"/>
      <c r="K289" s="19"/>
      <c r="L289" s="19"/>
      <c r="M289" s="19"/>
      <c r="N289" s="19"/>
      <c r="O289" s="19"/>
      <c r="P289" s="118"/>
      <c r="Q289" s="118"/>
      <c r="R289" s="118"/>
      <c r="S289" s="118"/>
    </row>
    <row r="290" ht="15.75" customHeight="1">
      <c r="A290" s="126"/>
      <c r="E290" s="19"/>
      <c r="F290" s="19"/>
      <c r="G290" s="19"/>
      <c r="H290" s="19"/>
      <c r="I290" s="19"/>
      <c r="J290" s="118"/>
      <c r="K290" s="19"/>
      <c r="L290" s="19"/>
      <c r="M290" s="19"/>
      <c r="N290" s="19"/>
      <c r="O290" s="19"/>
      <c r="P290" s="118"/>
      <c r="Q290" s="118"/>
      <c r="R290" s="118"/>
      <c r="S290" s="118"/>
    </row>
    <row r="291" ht="15.75" customHeight="1">
      <c r="A291" s="126"/>
      <c r="E291" s="19"/>
      <c r="F291" s="19"/>
      <c r="G291" s="19"/>
      <c r="H291" s="19"/>
      <c r="I291" s="19"/>
      <c r="J291" s="118"/>
      <c r="K291" s="19"/>
      <c r="L291" s="19"/>
      <c r="M291" s="19"/>
      <c r="N291" s="19"/>
      <c r="O291" s="19"/>
      <c r="P291" s="118"/>
      <c r="Q291" s="118"/>
      <c r="R291" s="118"/>
      <c r="S291" s="118"/>
    </row>
    <row r="292" ht="15.75" customHeight="1">
      <c r="A292" s="126"/>
      <c r="E292" s="19"/>
      <c r="F292" s="19"/>
      <c r="G292" s="19"/>
      <c r="H292" s="19"/>
      <c r="I292" s="19"/>
      <c r="J292" s="118"/>
      <c r="K292" s="19"/>
      <c r="L292" s="19"/>
      <c r="M292" s="19"/>
      <c r="N292" s="19"/>
      <c r="O292" s="19"/>
      <c r="P292" s="118"/>
      <c r="Q292" s="118"/>
      <c r="R292" s="118"/>
      <c r="S292" s="118"/>
    </row>
    <row r="293" ht="15.75" customHeight="1">
      <c r="A293" s="126"/>
      <c r="E293" s="19"/>
      <c r="F293" s="19"/>
      <c r="G293" s="19"/>
      <c r="H293" s="19"/>
      <c r="I293" s="19"/>
      <c r="J293" s="118"/>
      <c r="K293" s="19"/>
      <c r="L293" s="19"/>
      <c r="M293" s="19"/>
      <c r="N293" s="19"/>
      <c r="O293" s="19"/>
      <c r="P293" s="118"/>
      <c r="Q293" s="118"/>
      <c r="R293" s="118"/>
      <c r="S293" s="118"/>
    </row>
    <row r="294" ht="15.75" customHeight="1">
      <c r="A294" s="126"/>
      <c r="E294" s="19"/>
      <c r="F294" s="19"/>
      <c r="G294" s="19"/>
      <c r="H294" s="19"/>
      <c r="I294" s="19"/>
      <c r="J294" s="118"/>
      <c r="K294" s="19"/>
      <c r="L294" s="19"/>
      <c r="M294" s="19"/>
      <c r="N294" s="19"/>
      <c r="O294" s="19"/>
      <c r="P294" s="118"/>
      <c r="Q294" s="118"/>
      <c r="R294" s="118"/>
      <c r="S294" s="118"/>
    </row>
    <row r="295" ht="15.75" customHeight="1">
      <c r="A295" s="126"/>
      <c r="E295" s="19"/>
      <c r="F295" s="19"/>
      <c r="G295" s="19"/>
      <c r="H295" s="19"/>
      <c r="I295" s="19"/>
      <c r="J295" s="118"/>
      <c r="K295" s="19"/>
      <c r="L295" s="19"/>
      <c r="M295" s="19"/>
      <c r="N295" s="19"/>
      <c r="O295" s="19"/>
      <c r="P295" s="118"/>
      <c r="Q295" s="118"/>
      <c r="R295" s="118"/>
      <c r="S295" s="118"/>
    </row>
    <row r="296" ht="15.75" customHeight="1">
      <c r="A296" s="126"/>
      <c r="E296" s="19"/>
      <c r="F296" s="19"/>
      <c r="G296" s="19"/>
      <c r="H296" s="19"/>
      <c r="I296" s="19"/>
      <c r="J296" s="118"/>
      <c r="K296" s="19"/>
      <c r="L296" s="19"/>
      <c r="M296" s="19"/>
      <c r="N296" s="19"/>
      <c r="O296" s="19"/>
      <c r="P296" s="118"/>
      <c r="Q296" s="118"/>
      <c r="R296" s="118"/>
      <c r="S296" s="118"/>
    </row>
    <row r="297" ht="15.75" customHeight="1">
      <c r="A297" s="126"/>
      <c r="E297" s="19"/>
      <c r="F297" s="19"/>
      <c r="G297" s="19"/>
      <c r="H297" s="19"/>
      <c r="I297" s="19"/>
      <c r="J297" s="118"/>
      <c r="K297" s="19"/>
      <c r="L297" s="19"/>
      <c r="M297" s="19"/>
      <c r="N297" s="19"/>
      <c r="O297" s="19"/>
      <c r="P297" s="118"/>
      <c r="Q297" s="118"/>
      <c r="R297" s="118"/>
      <c r="S297" s="118"/>
    </row>
    <row r="298" ht="15.75" customHeight="1">
      <c r="A298" s="126"/>
      <c r="E298" s="19"/>
      <c r="F298" s="19"/>
      <c r="G298" s="19"/>
      <c r="H298" s="19"/>
      <c r="I298" s="19"/>
      <c r="J298" s="118"/>
      <c r="K298" s="19"/>
      <c r="L298" s="19"/>
      <c r="M298" s="19"/>
      <c r="N298" s="19"/>
      <c r="O298" s="19"/>
      <c r="P298" s="118"/>
      <c r="Q298" s="118"/>
      <c r="R298" s="118"/>
      <c r="S298" s="118"/>
    </row>
    <row r="299" ht="15.75" customHeight="1">
      <c r="A299" s="126"/>
      <c r="E299" s="19"/>
      <c r="F299" s="19"/>
      <c r="G299" s="19"/>
      <c r="H299" s="19"/>
      <c r="I299" s="19"/>
      <c r="J299" s="118"/>
      <c r="K299" s="19"/>
      <c r="L299" s="19"/>
      <c r="M299" s="19"/>
      <c r="N299" s="19"/>
      <c r="O299" s="19"/>
      <c r="P299" s="118"/>
      <c r="Q299" s="118"/>
      <c r="R299" s="118"/>
      <c r="S299" s="118"/>
    </row>
    <row r="300" ht="15.75" customHeight="1">
      <c r="A300" s="126"/>
      <c r="E300" s="19"/>
      <c r="F300" s="19"/>
      <c r="G300" s="19"/>
      <c r="H300" s="19"/>
      <c r="I300" s="19"/>
      <c r="J300" s="118"/>
      <c r="K300" s="19"/>
      <c r="L300" s="19"/>
      <c r="M300" s="19"/>
      <c r="N300" s="19"/>
      <c r="O300" s="19"/>
      <c r="P300" s="118"/>
      <c r="Q300" s="118"/>
      <c r="R300" s="118"/>
      <c r="S300" s="118"/>
    </row>
    <row r="301" ht="15.75" customHeight="1">
      <c r="A301" s="126"/>
      <c r="E301" s="19"/>
      <c r="F301" s="19"/>
      <c r="G301" s="19"/>
      <c r="H301" s="19"/>
      <c r="I301" s="19"/>
      <c r="J301" s="118"/>
      <c r="K301" s="19"/>
      <c r="L301" s="19"/>
      <c r="M301" s="19"/>
      <c r="N301" s="19"/>
      <c r="O301" s="19"/>
      <c r="P301" s="118"/>
      <c r="Q301" s="118"/>
      <c r="R301" s="118"/>
      <c r="S301" s="118"/>
    </row>
    <row r="302" ht="15.75" customHeight="1">
      <c r="A302" s="126"/>
      <c r="E302" s="19"/>
      <c r="F302" s="19"/>
      <c r="G302" s="19"/>
      <c r="H302" s="19"/>
      <c r="I302" s="19"/>
      <c r="J302" s="118"/>
      <c r="K302" s="19"/>
      <c r="L302" s="19"/>
      <c r="M302" s="19"/>
      <c r="N302" s="19"/>
      <c r="O302" s="19"/>
      <c r="P302" s="118"/>
      <c r="Q302" s="118"/>
      <c r="R302" s="118"/>
      <c r="S302" s="118"/>
    </row>
    <row r="303" ht="15.75" customHeight="1">
      <c r="A303" s="126"/>
      <c r="E303" s="19"/>
      <c r="F303" s="19"/>
      <c r="G303" s="19"/>
      <c r="H303" s="19"/>
      <c r="I303" s="19"/>
      <c r="J303" s="118"/>
      <c r="K303" s="19"/>
      <c r="L303" s="19"/>
      <c r="M303" s="19"/>
      <c r="N303" s="19"/>
      <c r="O303" s="19"/>
      <c r="P303" s="118"/>
      <c r="Q303" s="118"/>
      <c r="R303" s="118"/>
      <c r="S303" s="118"/>
    </row>
    <row r="304" ht="15.75" customHeight="1">
      <c r="A304" s="126"/>
      <c r="E304" s="19"/>
      <c r="F304" s="19"/>
      <c r="G304" s="19"/>
      <c r="H304" s="19"/>
      <c r="I304" s="19"/>
      <c r="J304" s="118"/>
      <c r="K304" s="19"/>
      <c r="L304" s="19"/>
      <c r="M304" s="19"/>
      <c r="N304" s="19"/>
      <c r="O304" s="19"/>
      <c r="P304" s="118"/>
      <c r="Q304" s="118"/>
      <c r="R304" s="118"/>
      <c r="S304" s="118"/>
    </row>
    <row r="305" ht="15.75" customHeight="1">
      <c r="A305" s="126"/>
      <c r="E305" s="19"/>
      <c r="F305" s="19"/>
      <c r="G305" s="19"/>
      <c r="H305" s="19"/>
      <c r="I305" s="19"/>
      <c r="J305" s="118"/>
      <c r="K305" s="19"/>
      <c r="L305" s="19"/>
      <c r="M305" s="19"/>
      <c r="N305" s="19"/>
      <c r="O305" s="19"/>
      <c r="P305" s="118"/>
      <c r="Q305" s="118"/>
      <c r="R305" s="118"/>
      <c r="S305" s="118"/>
    </row>
    <row r="306" ht="15.75" customHeight="1">
      <c r="A306" s="126"/>
      <c r="E306" s="19"/>
      <c r="F306" s="19"/>
      <c r="G306" s="19"/>
      <c r="H306" s="19"/>
      <c r="I306" s="19"/>
      <c r="J306" s="118"/>
      <c r="K306" s="19"/>
      <c r="L306" s="19"/>
      <c r="M306" s="19"/>
      <c r="N306" s="19"/>
      <c r="O306" s="19"/>
      <c r="P306" s="118"/>
      <c r="Q306" s="118"/>
      <c r="R306" s="118"/>
      <c r="S306" s="118"/>
    </row>
    <row r="307" ht="15.75" customHeight="1">
      <c r="A307" s="126"/>
      <c r="E307" s="19"/>
      <c r="F307" s="19"/>
      <c r="G307" s="19"/>
      <c r="H307" s="19"/>
      <c r="I307" s="19"/>
      <c r="J307" s="118"/>
      <c r="K307" s="19"/>
      <c r="L307" s="19"/>
      <c r="M307" s="19"/>
      <c r="N307" s="19"/>
      <c r="O307" s="19"/>
      <c r="P307" s="118"/>
      <c r="Q307" s="118"/>
      <c r="R307" s="118"/>
      <c r="S307" s="118"/>
    </row>
    <row r="308" ht="15.75" customHeight="1">
      <c r="A308" s="126"/>
      <c r="E308" s="19"/>
      <c r="F308" s="19"/>
      <c r="G308" s="19"/>
      <c r="H308" s="19"/>
      <c r="I308" s="19"/>
      <c r="J308" s="118"/>
      <c r="K308" s="19"/>
      <c r="L308" s="19"/>
      <c r="M308" s="19"/>
      <c r="N308" s="19"/>
      <c r="O308" s="19"/>
      <c r="P308" s="118"/>
      <c r="Q308" s="118"/>
      <c r="R308" s="118"/>
      <c r="S308" s="118"/>
    </row>
    <row r="309" ht="15.75" customHeight="1">
      <c r="A309" s="126"/>
      <c r="E309" s="19"/>
      <c r="F309" s="19"/>
      <c r="G309" s="19"/>
      <c r="H309" s="19"/>
      <c r="I309" s="19"/>
      <c r="J309" s="118"/>
      <c r="K309" s="19"/>
      <c r="L309" s="19"/>
      <c r="M309" s="19"/>
      <c r="N309" s="19"/>
      <c r="O309" s="19"/>
      <c r="P309" s="118"/>
      <c r="Q309" s="118"/>
      <c r="R309" s="118"/>
      <c r="S309" s="118"/>
    </row>
    <row r="310" ht="15.75" customHeight="1">
      <c r="A310" s="126"/>
      <c r="E310" s="19"/>
      <c r="F310" s="19"/>
      <c r="G310" s="19"/>
      <c r="H310" s="19"/>
      <c r="I310" s="19"/>
      <c r="J310" s="118"/>
      <c r="K310" s="19"/>
      <c r="L310" s="19"/>
      <c r="M310" s="19"/>
      <c r="N310" s="19"/>
      <c r="O310" s="19"/>
      <c r="P310" s="118"/>
      <c r="Q310" s="118"/>
      <c r="R310" s="118"/>
      <c r="S310" s="118"/>
    </row>
    <row r="311" ht="15.75" customHeight="1">
      <c r="A311" s="126"/>
      <c r="E311" s="19"/>
      <c r="F311" s="19"/>
      <c r="G311" s="19"/>
      <c r="H311" s="19"/>
      <c r="I311" s="19"/>
      <c r="J311" s="118"/>
      <c r="K311" s="19"/>
      <c r="L311" s="19"/>
      <c r="M311" s="19"/>
      <c r="N311" s="19"/>
      <c r="O311" s="19"/>
      <c r="P311" s="118"/>
      <c r="Q311" s="118"/>
      <c r="R311" s="118"/>
      <c r="S311" s="118"/>
    </row>
    <row r="312" ht="15.75" customHeight="1">
      <c r="A312" s="126"/>
      <c r="E312" s="19"/>
      <c r="F312" s="19"/>
      <c r="G312" s="19"/>
      <c r="H312" s="19"/>
      <c r="I312" s="19"/>
      <c r="J312" s="118"/>
      <c r="K312" s="19"/>
      <c r="L312" s="19"/>
      <c r="M312" s="19"/>
      <c r="N312" s="19"/>
      <c r="O312" s="19"/>
      <c r="P312" s="118"/>
      <c r="Q312" s="118"/>
      <c r="R312" s="118"/>
      <c r="S312" s="118"/>
    </row>
    <row r="313" ht="15.75" customHeight="1">
      <c r="A313" s="126"/>
      <c r="E313" s="19"/>
      <c r="F313" s="19"/>
      <c r="G313" s="19"/>
      <c r="H313" s="19"/>
      <c r="I313" s="19"/>
      <c r="J313" s="118"/>
      <c r="K313" s="19"/>
      <c r="L313" s="19"/>
      <c r="M313" s="19"/>
      <c r="N313" s="19"/>
      <c r="O313" s="19"/>
      <c r="P313" s="118"/>
      <c r="Q313" s="118"/>
      <c r="R313" s="118"/>
      <c r="S313" s="118"/>
    </row>
    <row r="314" ht="15.75" customHeight="1">
      <c r="A314" s="126"/>
      <c r="E314" s="19"/>
      <c r="F314" s="19"/>
      <c r="G314" s="19"/>
      <c r="H314" s="19"/>
      <c r="I314" s="19"/>
      <c r="J314" s="118"/>
      <c r="K314" s="19"/>
      <c r="L314" s="19"/>
      <c r="M314" s="19"/>
      <c r="N314" s="19"/>
      <c r="O314" s="19"/>
      <c r="P314" s="118"/>
      <c r="Q314" s="118"/>
      <c r="R314" s="118"/>
      <c r="S314" s="118"/>
    </row>
    <row r="315" ht="15.75" customHeight="1">
      <c r="A315" s="126"/>
      <c r="E315" s="19"/>
      <c r="F315" s="19"/>
      <c r="G315" s="19"/>
      <c r="H315" s="19"/>
      <c r="I315" s="19"/>
      <c r="J315" s="118"/>
      <c r="K315" s="19"/>
      <c r="L315" s="19"/>
      <c r="M315" s="19"/>
      <c r="N315" s="19"/>
      <c r="O315" s="19"/>
      <c r="P315" s="118"/>
      <c r="Q315" s="118"/>
      <c r="R315" s="118"/>
      <c r="S315" s="118"/>
    </row>
    <row r="316" ht="15.75" customHeight="1">
      <c r="A316" s="126"/>
      <c r="E316" s="19"/>
      <c r="F316" s="19"/>
      <c r="G316" s="19"/>
      <c r="H316" s="19"/>
      <c r="I316" s="19"/>
      <c r="J316" s="118"/>
      <c r="K316" s="19"/>
      <c r="L316" s="19"/>
      <c r="M316" s="19"/>
      <c r="N316" s="19"/>
      <c r="O316" s="19"/>
      <c r="P316" s="118"/>
      <c r="Q316" s="118"/>
      <c r="R316" s="118"/>
      <c r="S316" s="118"/>
    </row>
    <row r="317" ht="15.75" customHeight="1">
      <c r="A317" s="126"/>
      <c r="E317" s="19"/>
      <c r="F317" s="19"/>
      <c r="G317" s="19"/>
      <c r="H317" s="19"/>
      <c r="I317" s="19"/>
      <c r="J317" s="118"/>
      <c r="K317" s="19"/>
      <c r="L317" s="19"/>
      <c r="M317" s="19"/>
      <c r="N317" s="19"/>
      <c r="O317" s="19"/>
      <c r="P317" s="118"/>
      <c r="Q317" s="118"/>
      <c r="R317" s="118"/>
      <c r="S317" s="118"/>
    </row>
    <row r="318" ht="15.75" customHeight="1">
      <c r="A318" s="126"/>
      <c r="E318" s="19"/>
      <c r="F318" s="19"/>
      <c r="G318" s="19"/>
      <c r="H318" s="19"/>
      <c r="I318" s="19"/>
      <c r="J318" s="118"/>
      <c r="K318" s="19"/>
      <c r="L318" s="19"/>
      <c r="M318" s="19"/>
      <c r="N318" s="19"/>
      <c r="O318" s="19"/>
      <c r="P318" s="118"/>
      <c r="Q318" s="118"/>
      <c r="R318" s="118"/>
      <c r="S318" s="118"/>
    </row>
    <row r="319" ht="15.75" customHeight="1">
      <c r="A319" s="126"/>
      <c r="E319" s="19"/>
      <c r="F319" s="19"/>
      <c r="G319" s="19"/>
      <c r="H319" s="19"/>
      <c r="I319" s="19"/>
      <c r="J319" s="118"/>
      <c r="K319" s="19"/>
      <c r="L319" s="19"/>
      <c r="M319" s="19"/>
      <c r="N319" s="19"/>
      <c r="O319" s="19"/>
      <c r="P319" s="118"/>
      <c r="Q319" s="118"/>
      <c r="R319" s="118"/>
      <c r="S319" s="118"/>
    </row>
    <row r="320" ht="15.75" customHeight="1">
      <c r="A320" s="126"/>
      <c r="E320" s="19"/>
      <c r="F320" s="19"/>
      <c r="G320" s="19"/>
      <c r="H320" s="19"/>
      <c r="I320" s="19"/>
      <c r="J320" s="118"/>
      <c r="K320" s="19"/>
      <c r="L320" s="19"/>
      <c r="M320" s="19"/>
      <c r="N320" s="19"/>
      <c r="O320" s="19"/>
      <c r="P320" s="118"/>
      <c r="Q320" s="118"/>
      <c r="R320" s="118"/>
      <c r="S320" s="118"/>
    </row>
    <row r="321" ht="15.75" customHeight="1">
      <c r="A321" s="126"/>
      <c r="E321" s="19"/>
      <c r="F321" s="19"/>
      <c r="G321" s="19"/>
      <c r="H321" s="19"/>
      <c r="I321" s="19"/>
      <c r="J321" s="118"/>
      <c r="K321" s="19"/>
      <c r="L321" s="19"/>
      <c r="M321" s="19"/>
      <c r="N321" s="19"/>
      <c r="O321" s="19"/>
      <c r="P321" s="118"/>
      <c r="Q321" s="118"/>
      <c r="R321" s="118"/>
      <c r="S321" s="118"/>
    </row>
    <row r="322" ht="15.75" customHeight="1">
      <c r="A322" s="126"/>
      <c r="E322" s="19"/>
      <c r="F322" s="19"/>
      <c r="G322" s="19"/>
      <c r="H322" s="19"/>
      <c r="I322" s="19"/>
      <c r="J322" s="118"/>
      <c r="K322" s="19"/>
      <c r="L322" s="19"/>
      <c r="M322" s="19"/>
      <c r="N322" s="19"/>
      <c r="O322" s="19"/>
      <c r="P322" s="118"/>
      <c r="Q322" s="118"/>
      <c r="R322" s="118"/>
      <c r="S322" s="118"/>
    </row>
    <row r="323" ht="15.75" customHeight="1">
      <c r="A323" s="126"/>
      <c r="E323" s="19"/>
      <c r="F323" s="19"/>
      <c r="G323" s="19"/>
      <c r="H323" s="19"/>
      <c r="I323" s="19"/>
      <c r="J323" s="118"/>
      <c r="K323" s="19"/>
      <c r="L323" s="19"/>
      <c r="M323" s="19"/>
      <c r="N323" s="19"/>
      <c r="O323" s="19"/>
      <c r="P323" s="118"/>
      <c r="Q323" s="118"/>
      <c r="R323" s="118"/>
      <c r="S323" s="118"/>
    </row>
    <row r="324" ht="15.75" customHeight="1">
      <c r="A324" s="126"/>
      <c r="E324" s="19"/>
      <c r="F324" s="19"/>
      <c r="G324" s="19"/>
      <c r="H324" s="19"/>
      <c r="I324" s="19"/>
      <c r="J324" s="118"/>
      <c r="K324" s="19"/>
      <c r="L324" s="19"/>
      <c r="M324" s="19"/>
      <c r="N324" s="19"/>
      <c r="O324" s="19"/>
      <c r="P324" s="118"/>
      <c r="Q324" s="118"/>
      <c r="R324" s="118"/>
      <c r="S324" s="118"/>
    </row>
    <row r="325" ht="15.75" customHeight="1">
      <c r="A325" s="126"/>
      <c r="E325" s="19"/>
      <c r="F325" s="19"/>
      <c r="G325" s="19"/>
      <c r="H325" s="19"/>
      <c r="I325" s="19"/>
      <c r="J325" s="118"/>
      <c r="K325" s="19"/>
      <c r="L325" s="19"/>
      <c r="M325" s="19"/>
      <c r="N325" s="19"/>
      <c r="O325" s="19"/>
      <c r="P325" s="118"/>
      <c r="Q325" s="118"/>
      <c r="R325" s="118"/>
      <c r="S325" s="118"/>
    </row>
    <row r="326" ht="15.75" customHeight="1">
      <c r="A326" s="126"/>
      <c r="E326" s="19"/>
      <c r="F326" s="19"/>
      <c r="G326" s="19"/>
      <c r="H326" s="19"/>
      <c r="I326" s="19"/>
      <c r="J326" s="118"/>
      <c r="K326" s="19"/>
      <c r="L326" s="19"/>
      <c r="M326" s="19"/>
      <c r="N326" s="19"/>
      <c r="O326" s="19"/>
      <c r="P326" s="118"/>
      <c r="Q326" s="118"/>
      <c r="R326" s="118"/>
      <c r="S326" s="118"/>
    </row>
    <row r="327" ht="15.75" customHeight="1">
      <c r="A327" s="126"/>
      <c r="E327" s="19"/>
      <c r="F327" s="19"/>
      <c r="G327" s="19"/>
      <c r="H327" s="19"/>
      <c r="I327" s="19"/>
      <c r="J327" s="118"/>
      <c r="K327" s="19"/>
      <c r="L327" s="19"/>
      <c r="M327" s="19"/>
      <c r="N327" s="19"/>
      <c r="O327" s="19"/>
      <c r="P327" s="118"/>
      <c r="Q327" s="118"/>
      <c r="R327" s="118"/>
      <c r="S327" s="118"/>
    </row>
    <row r="328" ht="15.75" customHeight="1">
      <c r="A328" s="126"/>
      <c r="E328" s="19"/>
      <c r="F328" s="19"/>
      <c r="G328" s="19"/>
      <c r="H328" s="19"/>
      <c r="I328" s="19"/>
      <c r="J328" s="118"/>
      <c r="K328" s="19"/>
      <c r="L328" s="19"/>
      <c r="M328" s="19"/>
      <c r="N328" s="19"/>
      <c r="O328" s="19"/>
      <c r="P328" s="118"/>
      <c r="Q328" s="118"/>
      <c r="R328" s="118"/>
      <c r="S328" s="118"/>
    </row>
    <row r="329" ht="15.75" customHeight="1">
      <c r="A329" s="126"/>
      <c r="E329" s="19"/>
      <c r="F329" s="19"/>
      <c r="G329" s="19"/>
      <c r="H329" s="19"/>
      <c r="I329" s="19"/>
      <c r="J329" s="118"/>
      <c r="K329" s="19"/>
      <c r="L329" s="19"/>
      <c r="M329" s="19"/>
      <c r="N329" s="19"/>
      <c r="O329" s="19"/>
      <c r="P329" s="118"/>
      <c r="Q329" s="118"/>
      <c r="R329" s="118"/>
      <c r="S329" s="118"/>
    </row>
    <row r="330" ht="15.75" customHeight="1">
      <c r="A330" s="126"/>
      <c r="E330" s="19"/>
      <c r="F330" s="19"/>
      <c r="G330" s="19"/>
      <c r="H330" s="19"/>
      <c r="I330" s="19"/>
      <c r="J330" s="118"/>
      <c r="K330" s="19"/>
      <c r="L330" s="19"/>
      <c r="M330" s="19"/>
      <c r="N330" s="19"/>
      <c r="O330" s="19"/>
      <c r="P330" s="118"/>
      <c r="Q330" s="118"/>
      <c r="R330" s="118"/>
      <c r="S330" s="118"/>
    </row>
    <row r="331" ht="15.75" customHeight="1">
      <c r="A331" s="126"/>
      <c r="E331" s="19"/>
      <c r="F331" s="19"/>
      <c r="G331" s="19"/>
      <c r="H331" s="19"/>
      <c r="I331" s="19"/>
      <c r="J331" s="118"/>
      <c r="K331" s="19"/>
      <c r="L331" s="19"/>
      <c r="M331" s="19"/>
      <c r="N331" s="19"/>
      <c r="O331" s="19"/>
      <c r="P331" s="118"/>
      <c r="Q331" s="118"/>
      <c r="R331" s="118"/>
      <c r="S331" s="118"/>
    </row>
    <row r="332" ht="15.75" customHeight="1">
      <c r="A332" s="126"/>
      <c r="E332" s="19"/>
      <c r="F332" s="19"/>
      <c r="G332" s="19"/>
      <c r="H332" s="19"/>
      <c r="I332" s="19"/>
      <c r="J332" s="118"/>
      <c r="K332" s="19"/>
      <c r="L332" s="19"/>
      <c r="M332" s="19"/>
      <c r="N332" s="19"/>
      <c r="O332" s="19"/>
      <c r="P332" s="118"/>
      <c r="Q332" s="118"/>
      <c r="R332" s="118"/>
      <c r="S332" s="118"/>
    </row>
    <row r="333" ht="15.75" customHeight="1">
      <c r="A333" s="126"/>
      <c r="E333" s="19"/>
      <c r="F333" s="19"/>
      <c r="G333" s="19"/>
      <c r="H333" s="19"/>
      <c r="I333" s="19"/>
      <c r="J333" s="118"/>
      <c r="K333" s="19"/>
      <c r="L333" s="19"/>
      <c r="M333" s="19"/>
      <c r="N333" s="19"/>
      <c r="O333" s="19"/>
      <c r="P333" s="118"/>
      <c r="Q333" s="118"/>
      <c r="R333" s="118"/>
      <c r="S333" s="118"/>
    </row>
    <row r="334" ht="15.75" customHeight="1">
      <c r="A334" s="126"/>
      <c r="E334" s="19"/>
      <c r="F334" s="19"/>
      <c r="G334" s="19"/>
      <c r="H334" s="19"/>
      <c r="I334" s="19"/>
      <c r="J334" s="118"/>
      <c r="K334" s="19"/>
      <c r="L334" s="19"/>
      <c r="M334" s="19"/>
      <c r="N334" s="19"/>
      <c r="O334" s="19"/>
      <c r="P334" s="118"/>
      <c r="Q334" s="118"/>
      <c r="R334" s="118"/>
      <c r="S334" s="118"/>
    </row>
    <row r="335" ht="15.75" customHeight="1">
      <c r="A335" s="126"/>
      <c r="E335" s="19"/>
      <c r="F335" s="19"/>
      <c r="G335" s="19"/>
      <c r="H335" s="19"/>
      <c r="I335" s="19"/>
      <c r="J335" s="118"/>
      <c r="K335" s="19"/>
      <c r="L335" s="19"/>
      <c r="M335" s="19"/>
      <c r="N335" s="19"/>
      <c r="O335" s="19"/>
      <c r="P335" s="118"/>
      <c r="Q335" s="118"/>
      <c r="R335" s="118"/>
      <c r="S335" s="118"/>
    </row>
    <row r="336" ht="15.75" customHeight="1">
      <c r="A336" s="126"/>
      <c r="E336" s="19"/>
      <c r="F336" s="19"/>
      <c r="G336" s="19"/>
      <c r="H336" s="19"/>
      <c r="I336" s="19"/>
      <c r="J336" s="118"/>
      <c r="K336" s="19"/>
      <c r="L336" s="19"/>
      <c r="M336" s="19"/>
      <c r="N336" s="19"/>
      <c r="O336" s="19"/>
      <c r="P336" s="118"/>
      <c r="Q336" s="118"/>
      <c r="R336" s="118"/>
      <c r="S336" s="118"/>
    </row>
    <row r="337" ht="15.75" customHeight="1">
      <c r="A337" s="126"/>
      <c r="E337" s="19"/>
      <c r="F337" s="19"/>
      <c r="G337" s="19"/>
      <c r="H337" s="19"/>
      <c r="I337" s="19"/>
      <c r="J337" s="118"/>
      <c r="K337" s="19"/>
      <c r="L337" s="19"/>
      <c r="M337" s="19"/>
      <c r="N337" s="19"/>
      <c r="O337" s="19"/>
      <c r="P337" s="118"/>
      <c r="Q337" s="118"/>
      <c r="R337" s="118"/>
      <c r="S337" s="118"/>
    </row>
    <row r="338" ht="15.75" customHeight="1">
      <c r="A338" s="126"/>
      <c r="E338" s="19"/>
      <c r="F338" s="19"/>
      <c r="G338" s="19"/>
      <c r="H338" s="19"/>
      <c r="I338" s="19"/>
      <c r="J338" s="118"/>
      <c r="K338" s="19"/>
      <c r="L338" s="19"/>
      <c r="M338" s="19"/>
      <c r="N338" s="19"/>
      <c r="O338" s="19"/>
      <c r="P338" s="118"/>
      <c r="Q338" s="118"/>
      <c r="R338" s="118"/>
      <c r="S338" s="118"/>
    </row>
    <row r="339" ht="15.75" customHeight="1">
      <c r="A339" s="126"/>
      <c r="E339" s="19"/>
      <c r="F339" s="19"/>
      <c r="G339" s="19"/>
      <c r="H339" s="19"/>
      <c r="I339" s="19"/>
      <c r="J339" s="118"/>
      <c r="K339" s="19"/>
      <c r="L339" s="19"/>
      <c r="M339" s="19"/>
      <c r="N339" s="19"/>
      <c r="O339" s="19"/>
      <c r="P339" s="118"/>
      <c r="Q339" s="118"/>
      <c r="R339" s="118"/>
      <c r="S339" s="118"/>
    </row>
    <row r="340" ht="15.75" customHeight="1">
      <c r="A340" s="126"/>
      <c r="E340" s="19"/>
      <c r="F340" s="19"/>
      <c r="G340" s="19"/>
      <c r="H340" s="19"/>
      <c r="I340" s="19"/>
      <c r="J340" s="118"/>
      <c r="K340" s="19"/>
      <c r="L340" s="19"/>
      <c r="M340" s="19"/>
      <c r="N340" s="19"/>
      <c r="O340" s="19"/>
      <c r="P340" s="118"/>
      <c r="Q340" s="118"/>
      <c r="R340" s="118"/>
      <c r="S340" s="118"/>
    </row>
    <row r="341" ht="15.75" customHeight="1">
      <c r="A341" s="126"/>
      <c r="E341" s="19"/>
      <c r="F341" s="19"/>
      <c r="G341" s="19"/>
      <c r="H341" s="19"/>
      <c r="I341" s="19"/>
      <c r="J341" s="118"/>
      <c r="K341" s="19"/>
      <c r="L341" s="19"/>
      <c r="M341" s="19"/>
      <c r="N341" s="19"/>
      <c r="O341" s="19"/>
      <c r="P341" s="118"/>
      <c r="Q341" s="118"/>
      <c r="R341" s="118"/>
      <c r="S341" s="118"/>
    </row>
    <row r="342" ht="15.75" customHeight="1">
      <c r="A342" s="126"/>
      <c r="E342" s="19"/>
      <c r="F342" s="19"/>
      <c r="G342" s="19"/>
      <c r="H342" s="19"/>
      <c r="I342" s="19"/>
      <c r="J342" s="118"/>
      <c r="K342" s="19"/>
      <c r="L342" s="19"/>
      <c r="M342" s="19"/>
      <c r="N342" s="19"/>
      <c r="O342" s="19"/>
      <c r="P342" s="118"/>
      <c r="Q342" s="118"/>
      <c r="R342" s="118"/>
      <c r="S342" s="118"/>
    </row>
    <row r="343" ht="15.75" customHeight="1">
      <c r="A343" s="126"/>
      <c r="E343" s="19"/>
      <c r="F343" s="19"/>
      <c r="G343" s="19"/>
      <c r="H343" s="19"/>
      <c r="I343" s="19"/>
      <c r="J343" s="118"/>
      <c r="K343" s="19"/>
      <c r="L343" s="19"/>
      <c r="M343" s="19"/>
      <c r="N343" s="19"/>
      <c r="O343" s="19"/>
      <c r="P343" s="118"/>
      <c r="Q343" s="118"/>
      <c r="R343" s="118"/>
      <c r="S343" s="118"/>
    </row>
    <row r="344" ht="15.75" customHeight="1">
      <c r="A344" s="126"/>
      <c r="E344" s="19"/>
      <c r="F344" s="19"/>
      <c r="G344" s="19"/>
      <c r="H344" s="19"/>
      <c r="I344" s="19"/>
      <c r="J344" s="118"/>
      <c r="K344" s="19"/>
      <c r="L344" s="19"/>
      <c r="M344" s="19"/>
      <c r="N344" s="19"/>
      <c r="O344" s="19"/>
      <c r="P344" s="118"/>
      <c r="Q344" s="118"/>
      <c r="R344" s="118"/>
      <c r="S344" s="118"/>
    </row>
    <row r="345" ht="15.75" customHeight="1">
      <c r="A345" s="126"/>
      <c r="E345" s="19"/>
      <c r="F345" s="19"/>
      <c r="G345" s="19"/>
      <c r="H345" s="19"/>
      <c r="I345" s="19"/>
      <c r="J345" s="118"/>
      <c r="K345" s="19"/>
      <c r="L345" s="19"/>
      <c r="M345" s="19"/>
      <c r="N345" s="19"/>
      <c r="O345" s="19"/>
      <c r="P345" s="118"/>
      <c r="Q345" s="118"/>
      <c r="R345" s="118"/>
      <c r="S345" s="118"/>
    </row>
    <row r="346" ht="15.75" customHeight="1">
      <c r="A346" s="126"/>
      <c r="E346" s="19"/>
      <c r="F346" s="19"/>
      <c r="G346" s="19"/>
      <c r="H346" s="19"/>
      <c r="I346" s="19"/>
      <c r="J346" s="118"/>
      <c r="K346" s="19"/>
      <c r="L346" s="19"/>
      <c r="M346" s="19"/>
      <c r="N346" s="19"/>
      <c r="O346" s="19"/>
      <c r="P346" s="118"/>
      <c r="Q346" s="118"/>
      <c r="R346" s="118"/>
      <c r="S346" s="118"/>
    </row>
    <row r="347" ht="15.75" customHeight="1">
      <c r="A347" s="126"/>
      <c r="E347" s="19"/>
      <c r="F347" s="19"/>
      <c r="G347" s="19"/>
      <c r="H347" s="19"/>
      <c r="I347" s="19"/>
      <c r="J347" s="118"/>
      <c r="K347" s="19"/>
      <c r="L347" s="19"/>
      <c r="M347" s="19"/>
      <c r="N347" s="19"/>
      <c r="O347" s="19"/>
      <c r="P347" s="118"/>
      <c r="Q347" s="118"/>
      <c r="R347" s="118"/>
      <c r="S347" s="118"/>
    </row>
    <row r="348" ht="15.75" customHeight="1">
      <c r="A348" s="126"/>
      <c r="E348" s="19"/>
      <c r="F348" s="19"/>
      <c r="G348" s="19"/>
      <c r="H348" s="19"/>
      <c r="I348" s="19"/>
      <c r="J348" s="118"/>
      <c r="K348" s="19"/>
      <c r="L348" s="19"/>
      <c r="M348" s="19"/>
      <c r="N348" s="19"/>
      <c r="O348" s="19"/>
      <c r="P348" s="118"/>
      <c r="Q348" s="118"/>
      <c r="R348" s="118"/>
      <c r="S348" s="118"/>
    </row>
    <row r="349" ht="15.75" customHeight="1">
      <c r="A349" s="126"/>
      <c r="E349" s="19"/>
      <c r="F349" s="19"/>
      <c r="G349" s="19"/>
      <c r="H349" s="19"/>
      <c r="I349" s="19"/>
      <c r="J349" s="118"/>
      <c r="K349" s="19"/>
      <c r="L349" s="19"/>
      <c r="M349" s="19"/>
      <c r="N349" s="19"/>
      <c r="O349" s="19"/>
      <c r="P349" s="118"/>
      <c r="Q349" s="118"/>
      <c r="R349" s="118"/>
      <c r="S349" s="118"/>
    </row>
    <row r="350" ht="15.75" customHeight="1">
      <c r="A350" s="126"/>
      <c r="E350" s="19"/>
      <c r="F350" s="19"/>
      <c r="G350" s="19"/>
      <c r="H350" s="19"/>
      <c r="I350" s="19"/>
      <c r="J350" s="118"/>
      <c r="K350" s="19"/>
      <c r="L350" s="19"/>
      <c r="M350" s="19"/>
      <c r="N350" s="19"/>
      <c r="O350" s="19"/>
      <c r="P350" s="118"/>
      <c r="Q350" s="118"/>
      <c r="R350" s="118"/>
      <c r="S350" s="118"/>
    </row>
    <row r="351" ht="15.75" customHeight="1">
      <c r="A351" s="126"/>
      <c r="E351" s="19"/>
      <c r="F351" s="19"/>
      <c r="G351" s="19"/>
      <c r="H351" s="19"/>
      <c r="I351" s="19"/>
      <c r="J351" s="118"/>
      <c r="K351" s="19"/>
      <c r="L351" s="19"/>
      <c r="M351" s="19"/>
      <c r="N351" s="19"/>
      <c r="O351" s="19"/>
      <c r="P351" s="118"/>
      <c r="Q351" s="118"/>
      <c r="R351" s="118"/>
      <c r="S351" s="118"/>
    </row>
    <row r="352" ht="15.75" customHeight="1">
      <c r="A352" s="126"/>
      <c r="E352" s="19"/>
      <c r="F352" s="19"/>
      <c r="G352" s="19"/>
      <c r="H352" s="19"/>
      <c r="I352" s="19"/>
      <c r="J352" s="118"/>
      <c r="K352" s="19"/>
      <c r="L352" s="19"/>
      <c r="M352" s="19"/>
      <c r="N352" s="19"/>
      <c r="O352" s="19"/>
      <c r="P352" s="118"/>
      <c r="Q352" s="118"/>
      <c r="R352" s="118"/>
      <c r="S352" s="118"/>
    </row>
    <row r="353" ht="15.75" customHeight="1">
      <c r="A353" s="126"/>
      <c r="E353" s="19"/>
      <c r="F353" s="19"/>
      <c r="G353" s="19"/>
      <c r="H353" s="19"/>
      <c r="I353" s="19"/>
      <c r="J353" s="118"/>
      <c r="K353" s="19"/>
      <c r="L353" s="19"/>
      <c r="M353" s="19"/>
      <c r="N353" s="19"/>
      <c r="O353" s="19"/>
      <c r="P353" s="118"/>
      <c r="Q353" s="118"/>
      <c r="R353" s="118"/>
      <c r="S353" s="118"/>
    </row>
    <row r="354" ht="15.75" customHeight="1">
      <c r="A354" s="126"/>
      <c r="E354" s="19"/>
      <c r="F354" s="19"/>
      <c r="G354" s="19"/>
      <c r="H354" s="19"/>
      <c r="I354" s="19"/>
      <c r="J354" s="118"/>
      <c r="K354" s="19"/>
      <c r="L354" s="19"/>
      <c r="M354" s="19"/>
      <c r="N354" s="19"/>
      <c r="O354" s="19"/>
      <c r="P354" s="118"/>
      <c r="Q354" s="118"/>
      <c r="R354" s="118"/>
      <c r="S354" s="118"/>
    </row>
    <row r="355" ht="15.75" customHeight="1">
      <c r="A355" s="126"/>
      <c r="E355" s="19"/>
      <c r="F355" s="19"/>
      <c r="G355" s="19"/>
      <c r="H355" s="19"/>
      <c r="I355" s="19"/>
      <c r="J355" s="118"/>
      <c r="K355" s="19"/>
      <c r="L355" s="19"/>
      <c r="M355" s="19"/>
      <c r="N355" s="19"/>
      <c r="O355" s="19"/>
      <c r="P355" s="118"/>
      <c r="Q355" s="118"/>
      <c r="R355" s="118"/>
      <c r="S355" s="118"/>
    </row>
    <row r="356" ht="15.75" customHeight="1">
      <c r="A356" s="126"/>
      <c r="E356" s="19"/>
      <c r="F356" s="19"/>
      <c r="G356" s="19"/>
      <c r="H356" s="19"/>
      <c r="I356" s="19"/>
      <c r="J356" s="118"/>
      <c r="K356" s="19"/>
      <c r="L356" s="19"/>
      <c r="M356" s="19"/>
      <c r="N356" s="19"/>
      <c r="O356" s="19"/>
      <c r="P356" s="118"/>
      <c r="Q356" s="118"/>
      <c r="R356" s="118"/>
      <c r="S356" s="118"/>
    </row>
    <row r="357" ht="15.75" customHeight="1">
      <c r="A357" s="126"/>
      <c r="E357" s="19"/>
      <c r="F357" s="19"/>
      <c r="G357" s="19"/>
      <c r="H357" s="19"/>
      <c r="I357" s="19"/>
      <c r="J357" s="118"/>
      <c r="K357" s="19"/>
      <c r="L357" s="19"/>
      <c r="M357" s="19"/>
      <c r="N357" s="19"/>
      <c r="O357" s="19"/>
      <c r="P357" s="118"/>
      <c r="Q357" s="118"/>
      <c r="R357" s="118"/>
      <c r="S357" s="118"/>
    </row>
    <row r="358" ht="15.75" customHeight="1">
      <c r="A358" s="126"/>
      <c r="E358" s="19"/>
      <c r="F358" s="19"/>
      <c r="G358" s="19"/>
      <c r="H358" s="19"/>
      <c r="I358" s="19"/>
      <c r="J358" s="118"/>
      <c r="K358" s="19"/>
      <c r="L358" s="19"/>
      <c r="M358" s="19"/>
      <c r="N358" s="19"/>
      <c r="O358" s="19"/>
      <c r="P358" s="118"/>
      <c r="Q358" s="118"/>
      <c r="R358" s="118"/>
      <c r="S358" s="118"/>
    </row>
    <row r="359" ht="15.75" customHeight="1">
      <c r="A359" s="126"/>
      <c r="E359" s="19"/>
      <c r="F359" s="19"/>
      <c r="G359" s="19"/>
      <c r="H359" s="19"/>
      <c r="I359" s="19"/>
      <c r="J359" s="118"/>
      <c r="K359" s="19"/>
      <c r="L359" s="19"/>
      <c r="M359" s="19"/>
      <c r="N359" s="19"/>
      <c r="O359" s="19"/>
      <c r="P359" s="118"/>
      <c r="Q359" s="118"/>
      <c r="R359" s="118"/>
      <c r="S359" s="118"/>
    </row>
    <row r="360" ht="15.75" customHeight="1">
      <c r="A360" s="126"/>
      <c r="E360" s="19"/>
      <c r="F360" s="19"/>
      <c r="G360" s="19"/>
      <c r="H360" s="19"/>
      <c r="I360" s="19"/>
      <c r="J360" s="118"/>
      <c r="K360" s="19"/>
      <c r="L360" s="19"/>
      <c r="M360" s="19"/>
      <c r="N360" s="19"/>
      <c r="O360" s="19"/>
      <c r="P360" s="118"/>
      <c r="Q360" s="118"/>
      <c r="R360" s="118"/>
      <c r="S360" s="118"/>
    </row>
    <row r="361" ht="15.75" customHeight="1">
      <c r="A361" s="126"/>
      <c r="E361" s="19"/>
      <c r="F361" s="19"/>
      <c r="G361" s="19"/>
      <c r="H361" s="19"/>
      <c r="I361" s="19"/>
      <c r="J361" s="118"/>
      <c r="K361" s="19"/>
      <c r="L361" s="19"/>
      <c r="M361" s="19"/>
      <c r="N361" s="19"/>
      <c r="O361" s="19"/>
      <c r="P361" s="118"/>
      <c r="Q361" s="118"/>
      <c r="R361" s="118"/>
      <c r="S361" s="118"/>
    </row>
    <row r="362" ht="15.75" customHeight="1">
      <c r="A362" s="126"/>
      <c r="E362" s="19"/>
      <c r="F362" s="19"/>
      <c r="G362" s="19"/>
      <c r="H362" s="19"/>
      <c r="I362" s="19"/>
      <c r="J362" s="118"/>
      <c r="K362" s="19"/>
      <c r="L362" s="19"/>
      <c r="M362" s="19"/>
      <c r="N362" s="19"/>
      <c r="O362" s="19"/>
      <c r="P362" s="118"/>
      <c r="Q362" s="118"/>
      <c r="R362" s="118"/>
      <c r="S362" s="118"/>
    </row>
    <row r="363" ht="15.75" customHeight="1">
      <c r="A363" s="126"/>
      <c r="E363" s="19"/>
      <c r="F363" s="19"/>
      <c r="G363" s="19"/>
      <c r="H363" s="19"/>
      <c r="I363" s="19"/>
      <c r="J363" s="118"/>
      <c r="K363" s="19"/>
      <c r="L363" s="19"/>
      <c r="M363" s="19"/>
      <c r="N363" s="19"/>
      <c r="O363" s="19"/>
      <c r="P363" s="118"/>
      <c r="Q363" s="118"/>
      <c r="R363" s="118"/>
      <c r="S363" s="118"/>
    </row>
    <row r="364" ht="15.75" customHeight="1">
      <c r="A364" s="126"/>
      <c r="E364" s="19"/>
      <c r="F364" s="19"/>
      <c r="G364" s="19"/>
      <c r="H364" s="19"/>
      <c r="I364" s="19"/>
      <c r="J364" s="118"/>
      <c r="K364" s="19"/>
      <c r="L364" s="19"/>
      <c r="M364" s="19"/>
      <c r="N364" s="19"/>
      <c r="O364" s="19"/>
      <c r="P364" s="118"/>
      <c r="Q364" s="118"/>
      <c r="R364" s="118"/>
      <c r="S364" s="118"/>
    </row>
    <row r="365" ht="15.75" customHeight="1">
      <c r="A365" s="126"/>
      <c r="E365" s="19"/>
      <c r="F365" s="19"/>
      <c r="G365" s="19"/>
      <c r="H365" s="19"/>
      <c r="I365" s="19"/>
      <c r="J365" s="118"/>
      <c r="K365" s="19"/>
      <c r="L365" s="19"/>
      <c r="M365" s="19"/>
      <c r="N365" s="19"/>
      <c r="O365" s="19"/>
      <c r="P365" s="118"/>
      <c r="Q365" s="118"/>
      <c r="R365" s="118"/>
      <c r="S365" s="118"/>
    </row>
    <row r="366" ht="15.75" customHeight="1">
      <c r="A366" s="126"/>
      <c r="E366" s="19"/>
      <c r="F366" s="19"/>
      <c r="G366" s="19"/>
      <c r="H366" s="19"/>
      <c r="I366" s="19"/>
      <c r="J366" s="118"/>
      <c r="K366" s="19"/>
      <c r="L366" s="19"/>
      <c r="M366" s="19"/>
      <c r="N366" s="19"/>
      <c r="O366" s="19"/>
      <c r="P366" s="118"/>
      <c r="Q366" s="118"/>
      <c r="R366" s="118"/>
      <c r="S366" s="118"/>
    </row>
    <row r="367" ht="15.75" customHeight="1">
      <c r="A367" s="126"/>
      <c r="E367" s="19"/>
      <c r="F367" s="19"/>
      <c r="G367" s="19"/>
      <c r="H367" s="19"/>
      <c r="I367" s="19"/>
      <c r="J367" s="118"/>
      <c r="K367" s="19"/>
      <c r="L367" s="19"/>
      <c r="M367" s="19"/>
      <c r="N367" s="19"/>
      <c r="O367" s="19"/>
      <c r="P367" s="118"/>
      <c r="Q367" s="118"/>
      <c r="R367" s="118"/>
      <c r="S367" s="118"/>
    </row>
    <row r="368" ht="15.75" customHeight="1">
      <c r="A368" s="126"/>
      <c r="E368" s="19"/>
      <c r="F368" s="19"/>
      <c r="G368" s="19"/>
      <c r="H368" s="19"/>
      <c r="I368" s="19"/>
      <c r="J368" s="118"/>
      <c r="K368" s="19"/>
      <c r="L368" s="19"/>
      <c r="M368" s="19"/>
      <c r="N368" s="19"/>
      <c r="O368" s="19"/>
      <c r="P368" s="118"/>
      <c r="Q368" s="118"/>
      <c r="R368" s="118"/>
      <c r="S368" s="118"/>
    </row>
    <row r="369" ht="15.75" customHeight="1">
      <c r="A369" s="126"/>
      <c r="E369" s="19"/>
      <c r="F369" s="19"/>
      <c r="G369" s="19"/>
      <c r="H369" s="19"/>
      <c r="I369" s="19"/>
      <c r="J369" s="118"/>
      <c r="K369" s="19"/>
      <c r="L369" s="19"/>
      <c r="M369" s="19"/>
      <c r="N369" s="19"/>
      <c r="O369" s="19"/>
      <c r="P369" s="118"/>
      <c r="Q369" s="118"/>
      <c r="R369" s="118"/>
      <c r="S369" s="118"/>
    </row>
    <row r="370" ht="15.75" customHeight="1">
      <c r="A370" s="126"/>
      <c r="E370" s="19"/>
      <c r="F370" s="19"/>
      <c r="G370" s="19"/>
      <c r="H370" s="19"/>
      <c r="I370" s="19"/>
      <c r="J370" s="118"/>
      <c r="K370" s="19"/>
      <c r="L370" s="19"/>
      <c r="M370" s="19"/>
      <c r="N370" s="19"/>
      <c r="O370" s="19"/>
      <c r="P370" s="118"/>
      <c r="Q370" s="118"/>
      <c r="R370" s="118"/>
      <c r="S370" s="118"/>
    </row>
    <row r="371" ht="15.75" customHeight="1">
      <c r="A371" s="126"/>
      <c r="E371" s="19"/>
      <c r="F371" s="19"/>
      <c r="G371" s="19"/>
      <c r="H371" s="19"/>
      <c r="I371" s="19"/>
      <c r="J371" s="118"/>
      <c r="K371" s="19"/>
      <c r="L371" s="19"/>
      <c r="M371" s="19"/>
      <c r="N371" s="19"/>
      <c r="O371" s="19"/>
      <c r="P371" s="118"/>
      <c r="Q371" s="118"/>
      <c r="R371" s="118"/>
      <c r="S371" s="118"/>
    </row>
    <row r="372" ht="15.75" customHeight="1">
      <c r="A372" s="126"/>
      <c r="E372" s="19"/>
      <c r="F372" s="19"/>
      <c r="G372" s="19"/>
      <c r="H372" s="19"/>
      <c r="I372" s="19"/>
      <c r="J372" s="118"/>
      <c r="K372" s="19"/>
      <c r="L372" s="19"/>
      <c r="M372" s="19"/>
      <c r="N372" s="19"/>
      <c r="O372" s="19"/>
      <c r="P372" s="118"/>
      <c r="Q372" s="118"/>
      <c r="R372" s="118"/>
      <c r="S372" s="118"/>
    </row>
    <row r="373" ht="15.75" customHeight="1">
      <c r="A373" s="126"/>
      <c r="E373" s="19"/>
      <c r="F373" s="19"/>
      <c r="G373" s="19"/>
      <c r="H373" s="19"/>
      <c r="I373" s="19"/>
      <c r="J373" s="118"/>
      <c r="K373" s="19"/>
      <c r="L373" s="19"/>
      <c r="M373" s="19"/>
      <c r="N373" s="19"/>
      <c r="O373" s="19"/>
      <c r="P373" s="118"/>
      <c r="Q373" s="118"/>
      <c r="R373" s="118"/>
      <c r="S373" s="118"/>
    </row>
    <row r="374" ht="15.75" customHeight="1">
      <c r="A374" s="126"/>
      <c r="E374" s="19"/>
      <c r="F374" s="19"/>
      <c r="G374" s="19"/>
      <c r="H374" s="19"/>
      <c r="I374" s="19"/>
      <c r="J374" s="118"/>
      <c r="K374" s="19"/>
      <c r="L374" s="19"/>
      <c r="M374" s="19"/>
      <c r="N374" s="19"/>
      <c r="O374" s="19"/>
      <c r="P374" s="118"/>
      <c r="Q374" s="118"/>
      <c r="R374" s="118"/>
      <c r="S374" s="118"/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0.5"/>
    <col customWidth="1" min="2" max="2" width="17.63"/>
    <col customWidth="1" min="3" max="3" width="5.88"/>
    <col customWidth="1" min="4" max="6" width="12.63"/>
  </cols>
  <sheetData>
    <row r="1" ht="15.75" customHeight="1">
      <c r="A1" s="134" t="s">
        <v>600</v>
      </c>
      <c r="B1" s="120" t="s">
        <v>758</v>
      </c>
      <c r="C1" s="22"/>
      <c r="D1" s="19" t="s">
        <v>759</v>
      </c>
      <c r="E1" s="18"/>
      <c r="F1" s="19" t="s">
        <v>760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ht="15.75" customHeight="1">
      <c r="A2" s="135" t="s">
        <v>167</v>
      </c>
      <c r="B2" s="17"/>
      <c r="D2" s="19"/>
      <c r="E2" s="18"/>
      <c r="F2" s="19"/>
    </row>
    <row r="3" ht="15.75" customHeight="1">
      <c r="A3" s="17" t="s">
        <v>761</v>
      </c>
      <c r="D3" s="19"/>
      <c r="F3" s="19"/>
    </row>
    <row r="4" ht="15.75" customHeight="1">
      <c r="A4" s="17" t="s">
        <v>762</v>
      </c>
      <c r="B4" s="17">
        <v>2345.0</v>
      </c>
      <c r="D4" s="19"/>
      <c r="F4" s="19"/>
    </row>
    <row r="5" ht="15.75" customHeight="1">
      <c r="A5" s="17" t="s">
        <v>763</v>
      </c>
      <c r="B5" s="30">
        <f>D7/B4</f>
        <v>0</v>
      </c>
      <c r="D5" s="19"/>
      <c r="E5" s="18"/>
      <c r="F5" s="19"/>
    </row>
    <row r="6" ht="15.75" customHeight="1">
      <c r="A6" s="17" t="s">
        <v>764</v>
      </c>
      <c r="B6" s="136">
        <f>G12/D8</f>
        <v>0</v>
      </c>
      <c r="D6" s="19"/>
      <c r="E6" s="18"/>
      <c r="F6" s="19"/>
    </row>
    <row r="7" ht="15.75" customHeight="1">
      <c r="A7" s="17"/>
      <c r="B7" s="17"/>
      <c r="D7" s="19"/>
      <c r="E7" s="20"/>
      <c r="F7" s="19"/>
    </row>
    <row r="8" ht="15.75" customHeight="1">
      <c r="A8" s="17" t="s">
        <v>765</v>
      </c>
      <c r="B8" s="20">
        <v>0.15</v>
      </c>
      <c r="D8" s="19">
        <f>sum(D9:D14)</f>
        <v>295216.99</v>
      </c>
      <c r="F8" s="19">
        <f>sum(F9:F14)</f>
        <v>723091.55</v>
      </c>
      <c r="G8" s="18">
        <v>785000.0</v>
      </c>
      <c r="H8" s="20">
        <v>0.7</v>
      </c>
    </row>
    <row r="9" ht="15.75" customHeight="1">
      <c r="A9" s="17" t="s">
        <v>766</v>
      </c>
      <c r="B9" s="137">
        <v>0.05</v>
      </c>
      <c r="D9" s="19">
        <v>40000.0</v>
      </c>
      <c r="E9" s="18"/>
      <c r="F9" s="19">
        <f>G8*B9</f>
        <v>39250</v>
      </c>
    </row>
    <row r="10" ht="15.75" customHeight="1">
      <c r="A10" s="17" t="s">
        <v>151</v>
      </c>
      <c r="B10" s="137">
        <v>0.1</v>
      </c>
      <c r="D10" s="19">
        <v>80000.0</v>
      </c>
      <c r="E10" s="18"/>
      <c r="F10" s="19"/>
    </row>
    <row r="11" ht="15.75" customHeight="1">
      <c r="D11" s="19"/>
      <c r="E11" s="18"/>
      <c r="F11" s="19"/>
    </row>
    <row r="12" ht="15.75" customHeight="1">
      <c r="A12" s="3" t="s">
        <v>767</v>
      </c>
      <c r="D12" s="19">
        <v>175000.0</v>
      </c>
      <c r="E12" s="18"/>
      <c r="F12" s="19">
        <f>D12</f>
        <v>175000</v>
      </c>
    </row>
    <row r="13" ht="15.75" customHeight="1">
      <c r="D13" s="19"/>
      <c r="E13" s="18"/>
      <c r="F13" s="19"/>
    </row>
    <row r="14" ht="15.75" customHeight="1">
      <c r="A14" s="17" t="s">
        <v>768</v>
      </c>
      <c r="B14" s="17"/>
      <c r="D14" s="19">
        <f>sum(D15:D83)</f>
        <v>216.99</v>
      </c>
      <c r="E14" s="18"/>
      <c r="F14" s="19">
        <f>sum(F15:F83)</f>
        <v>508841.55</v>
      </c>
      <c r="G14" s="18">
        <f>G8*H8</f>
        <v>549500</v>
      </c>
    </row>
    <row r="15" ht="15.75" customHeight="1">
      <c r="A15" s="53" t="s">
        <v>769</v>
      </c>
      <c r="B15" s="137"/>
      <c r="D15" s="19"/>
      <c r="E15" s="18"/>
      <c r="F15" s="19" t="str">
        <f t="shared" ref="F15:F16" si="1">D15</f>
        <v/>
      </c>
    </row>
    <row r="16" ht="15.75" customHeight="1">
      <c r="A16" s="53" t="s">
        <v>770</v>
      </c>
      <c r="B16" s="137">
        <v>0.01</v>
      </c>
      <c r="D16" s="19"/>
      <c r="E16" s="18"/>
      <c r="F16" s="19" t="str">
        <f t="shared" si="1"/>
        <v/>
      </c>
    </row>
    <row r="17" ht="15.75" customHeight="1">
      <c r="A17" s="17"/>
      <c r="B17" s="17"/>
      <c r="C17" s="1"/>
      <c r="D17" s="19"/>
      <c r="E17" s="138"/>
      <c r="F17" s="19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38" t="s">
        <v>222</v>
      </c>
      <c r="B18" s="17"/>
      <c r="D18" s="19"/>
      <c r="F18" s="19"/>
    </row>
    <row r="19" ht="15.75" customHeight="1">
      <c r="A19" s="37" t="s">
        <v>164</v>
      </c>
      <c r="B19" s="17"/>
      <c r="D19" s="19">
        <v>1.81</v>
      </c>
      <c r="E19" s="20"/>
      <c r="F19" s="19">
        <f t="shared" ref="F19:F29" si="2">$B$4*D19</f>
        <v>4244.45</v>
      </c>
    </row>
    <row r="20" ht="15.75" customHeight="1">
      <c r="A20" s="38" t="s">
        <v>595</v>
      </c>
      <c r="B20" s="17"/>
      <c r="D20" s="19">
        <v>1.27</v>
      </c>
      <c r="E20" s="20"/>
      <c r="F20" s="19">
        <f t="shared" si="2"/>
        <v>2978.15</v>
      </c>
    </row>
    <row r="21" ht="15.75" customHeight="1">
      <c r="A21" s="38" t="s">
        <v>165</v>
      </c>
      <c r="B21" s="17" t="s">
        <v>771</v>
      </c>
      <c r="D21" s="19">
        <v>6.4</v>
      </c>
      <c r="E21" s="20"/>
      <c r="F21" s="19">
        <f t="shared" si="2"/>
        <v>15008</v>
      </c>
    </row>
    <row r="22" ht="15.75" customHeight="1">
      <c r="A22" s="39" t="s">
        <v>772</v>
      </c>
      <c r="B22" s="17"/>
      <c r="D22" s="19">
        <v>1.81</v>
      </c>
      <c r="E22" s="20"/>
      <c r="F22" s="19">
        <f t="shared" si="2"/>
        <v>4244.45</v>
      </c>
    </row>
    <row r="23" ht="15.75" customHeight="1">
      <c r="A23" s="39" t="s">
        <v>773</v>
      </c>
      <c r="B23" s="17"/>
      <c r="D23" s="19">
        <v>1.81</v>
      </c>
      <c r="E23" s="20"/>
      <c r="F23" s="19">
        <f t="shared" si="2"/>
        <v>4244.45</v>
      </c>
    </row>
    <row r="24" ht="15.75" customHeight="1">
      <c r="A24" s="39" t="s">
        <v>774</v>
      </c>
      <c r="B24" s="17"/>
      <c r="D24" s="19">
        <v>4.27</v>
      </c>
      <c r="E24" s="20"/>
      <c r="F24" s="19">
        <f t="shared" si="2"/>
        <v>10013.15</v>
      </c>
    </row>
    <row r="25" ht="15.75" customHeight="1">
      <c r="A25" s="39" t="s">
        <v>170</v>
      </c>
      <c r="B25" s="17" t="s">
        <v>171</v>
      </c>
      <c r="D25" s="19">
        <v>0.18</v>
      </c>
      <c r="E25" s="20"/>
      <c r="F25" s="19">
        <f t="shared" si="2"/>
        <v>422.1</v>
      </c>
    </row>
    <row r="26" ht="15.75" customHeight="1">
      <c r="A26" s="39" t="s">
        <v>775</v>
      </c>
      <c r="B26" s="17"/>
      <c r="D26" s="19">
        <v>0.05</v>
      </c>
      <c r="E26" s="20"/>
      <c r="F26" s="19">
        <f t="shared" si="2"/>
        <v>117.25</v>
      </c>
    </row>
    <row r="27" ht="15.75" customHeight="1">
      <c r="A27" s="39" t="s">
        <v>172</v>
      </c>
      <c r="B27" s="40" t="s">
        <v>776</v>
      </c>
      <c r="D27" s="19">
        <v>0.54</v>
      </c>
      <c r="E27" s="20"/>
      <c r="F27" s="19">
        <f t="shared" si="2"/>
        <v>1266.3</v>
      </c>
    </row>
    <row r="28" ht="15.75" customHeight="1">
      <c r="A28" s="39" t="s">
        <v>173</v>
      </c>
      <c r="B28" s="17"/>
      <c r="D28" s="19">
        <v>0.54</v>
      </c>
      <c r="E28" s="20"/>
      <c r="F28" s="19">
        <f t="shared" si="2"/>
        <v>1266.3</v>
      </c>
    </row>
    <row r="29" ht="15.75" customHeight="1">
      <c r="A29" s="39" t="s">
        <v>777</v>
      </c>
      <c r="B29" s="17"/>
      <c r="D29" s="19">
        <v>0.54</v>
      </c>
      <c r="E29" s="20"/>
      <c r="F29" s="19">
        <f t="shared" si="2"/>
        <v>1266.3</v>
      </c>
    </row>
    <row r="30" ht="15.75" customHeight="1">
      <c r="A30" s="40"/>
      <c r="B30" s="17"/>
      <c r="C30" s="1"/>
      <c r="D30" s="19"/>
      <c r="E30" s="20"/>
      <c r="F30" s="1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48" t="s">
        <v>778</v>
      </c>
      <c r="B31" s="17"/>
      <c r="D31" s="19">
        <v>2.72</v>
      </c>
      <c r="E31" s="20"/>
      <c r="F31" s="19">
        <f t="shared" ref="F31:F82" si="3">$B$4*D31</f>
        <v>6378.4</v>
      </c>
    </row>
    <row r="32" ht="15.75" customHeight="1">
      <c r="A32" s="48" t="s">
        <v>45</v>
      </c>
      <c r="B32" s="17" t="s">
        <v>779</v>
      </c>
      <c r="D32" s="19">
        <v>12.69</v>
      </c>
      <c r="E32" s="138"/>
      <c r="F32" s="19">
        <f t="shared" si="3"/>
        <v>29758.05</v>
      </c>
    </row>
    <row r="33" ht="15.75" customHeight="1">
      <c r="A33" s="48" t="s">
        <v>185</v>
      </c>
      <c r="B33" s="17" t="s">
        <v>780</v>
      </c>
      <c r="D33" s="19">
        <v>0.27</v>
      </c>
      <c r="E33" s="20"/>
      <c r="F33" s="19">
        <f t="shared" si="3"/>
        <v>633.15</v>
      </c>
    </row>
    <row r="34" ht="15.75" customHeight="1">
      <c r="A34" s="48" t="s">
        <v>187</v>
      </c>
      <c r="B34" s="17" t="s">
        <v>53</v>
      </c>
      <c r="D34" s="19">
        <v>7.25</v>
      </c>
      <c r="E34" s="20"/>
      <c r="F34" s="19">
        <f t="shared" si="3"/>
        <v>17001.25</v>
      </c>
    </row>
    <row r="35" ht="15.75" customHeight="1">
      <c r="A35" s="48" t="s">
        <v>57</v>
      </c>
      <c r="B35" s="135" t="s">
        <v>781</v>
      </c>
      <c r="D35" s="19">
        <v>9.07</v>
      </c>
      <c r="E35" s="20"/>
      <c r="F35" s="19">
        <f t="shared" si="3"/>
        <v>21269.15</v>
      </c>
    </row>
    <row r="36" ht="15.75" customHeight="1">
      <c r="A36" s="48" t="s">
        <v>52</v>
      </c>
      <c r="B36" s="17" t="s">
        <v>782</v>
      </c>
      <c r="D36" s="19">
        <v>5.44</v>
      </c>
      <c r="E36" s="20"/>
      <c r="F36" s="19">
        <f t="shared" si="3"/>
        <v>12756.8</v>
      </c>
    </row>
    <row r="37" ht="15.75" customHeight="1">
      <c r="D37" s="19"/>
      <c r="E37" s="20"/>
      <c r="F37" s="19">
        <f t="shared" si="3"/>
        <v>0</v>
      </c>
    </row>
    <row r="38" ht="15.75" customHeight="1">
      <c r="A38" s="32" t="s">
        <v>192</v>
      </c>
      <c r="B38" s="17" t="s">
        <v>783</v>
      </c>
      <c r="D38" s="19">
        <v>9.95</v>
      </c>
      <c r="F38" s="19">
        <f t="shared" si="3"/>
        <v>23332.75</v>
      </c>
    </row>
    <row r="39" ht="15.75" customHeight="1">
      <c r="A39" s="32" t="s">
        <v>88</v>
      </c>
      <c r="B39" s="17" t="s">
        <v>155</v>
      </c>
      <c r="D39" s="19">
        <v>2.99</v>
      </c>
      <c r="E39" s="20"/>
      <c r="F39" s="19">
        <f t="shared" si="3"/>
        <v>7011.55</v>
      </c>
    </row>
    <row r="40" ht="15.75" customHeight="1">
      <c r="A40" s="32" t="s">
        <v>784</v>
      </c>
      <c r="B40" s="17" t="s">
        <v>155</v>
      </c>
      <c r="D40" s="19"/>
      <c r="E40" s="20"/>
      <c r="F40" s="19">
        <f t="shared" si="3"/>
        <v>0</v>
      </c>
    </row>
    <row r="41" ht="15.75" customHeight="1">
      <c r="A41" s="32" t="s">
        <v>785</v>
      </c>
      <c r="B41" s="17" t="s">
        <v>786</v>
      </c>
      <c r="D41" s="19">
        <v>2.86</v>
      </c>
      <c r="E41" s="20"/>
      <c r="F41" s="19">
        <f t="shared" si="3"/>
        <v>6706.7</v>
      </c>
    </row>
    <row r="42" ht="15.75" customHeight="1">
      <c r="A42" s="32" t="s">
        <v>787</v>
      </c>
      <c r="B42" s="17" t="s">
        <v>788</v>
      </c>
      <c r="D42" s="19">
        <v>5.73</v>
      </c>
      <c r="E42" s="20"/>
      <c r="F42" s="19">
        <f t="shared" si="3"/>
        <v>13436.85</v>
      </c>
    </row>
    <row r="43" ht="15.75" customHeight="1">
      <c r="A43" s="32" t="s">
        <v>93</v>
      </c>
      <c r="B43" s="17" t="s">
        <v>789</v>
      </c>
      <c r="D43" s="19">
        <v>2.56</v>
      </c>
      <c r="E43" s="20"/>
      <c r="F43" s="19">
        <f t="shared" si="3"/>
        <v>6003.2</v>
      </c>
    </row>
    <row r="44" ht="15.75" customHeight="1">
      <c r="A44" s="32" t="s">
        <v>89</v>
      </c>
      <c r="B44" s="17" t="s">
        <v>790</v>
      </c>
      <c r="D44" s="19">
        <v>7.25</v>
      </c>
      <c r="E44" s="20"/>
      <c r="F44" s="19">
        <f t="shared" si="3"/>
        <v>17001.25</v>
      </c>
    </row>
    <row r="45" ht="15.75" customHeight="1">
      <c r="A45" s="139" t="s">
        <v>90</v>
      </c>
      <c r="B45" s="17" t="s">
        <v>155</v>
      </c>
      <c r="D45" s="19">
        <v>3.63</v>
      </c>
      <c r="E45" s="20"/>
      <c r="F45" s="19">
        <f t="shared" si="3"/>
        <v>8512.35</v>
      </c>
    </row>
    <row r="46" ht="15.0" customHeight="1">
      <c r="A46" s="40"/>
      <c r="B46" s="17"/>
      <c r="C46" s="1"/>
      <c r="D46" s="19"/>
      <c r="E46" s="20"/>
      <c r="F46" s="19">
        <f t="shared" si="3"/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35" t="s">
        <v>67</v>
      </c>
      <c r="B47" s="17" t="s">
        <v>791</v>
      </c>
      <c r="D47" s="19">
        <v>10.88</v>
      </c>
      <c r="E47" s="138"/>
      <c r="F47" s="19">
        <f t="shared" si="3"/>
        <v>25513.6</v>
      </c>
    </row>
    <row r="48" ht="15.0" customHeight="1">
      <c r="A48" s="35" t="s">
        <v>63</v>
      </c>
      <c r="B48" s="17" t="s">
        <v>95</v>
      </c>
      <c r="D48" s="19">
        <v>9.79</v>
      </c>
      <c r="E48" s="20"/>
      <c r="F48" s="19">
        <f t="shared" si="3"/>
        <v>22957.55</v>
      </c>
    </row>
    <row r="49" ht="15.75" customHeight="1">
      <c r="A49" s="35" t="s">
        <v>792</v>
      </c>
      <c r="B49" s="17"/>
      <c r="D49" s="19">
        <v>2.72</v>
      </c>
      <c r="E49" s="20"/>
      <c r="F49" s="19">
        <f t="shared" si="3"/>
        <v>6378.4</v>
      </c>
    </row>
    <row r="50" ht="15.75" customHeight="1">
      <c r="A50" s="35" t="s">
        <v>201</v>
      </c>
      <c r="B50" s="17" t="s">
        <v>53</v>
      </c>
      <c r="D50" s="19">
        <v>1.28</v>
      </c>
      <c r="E50" s="20"/>
      <c r="F50" s="19">
        <f t="shared" si="3"/>
        <v>3001.6</v>
      </c>
    </row>
    <row r="51" ht="15.75" customHeight="1">
      <c r="A51" s="35" t="s">
        <v>793</v>
      </c>
      <c r="B51" s="17" t="s">
        <v>155</v>
      </c>
      <c r="D51" s="19">
        <v>1.09</v>
      </c>
      <c r="E51" s="20"/>
      <c r="F51" s="19">
        <f t="shared" si="3"/>
        <v>2556.05</v>
      </c>
    </row>
    <row r="52" ht="15.75" customHeight="1">
      <c r="A52" s="35" t="s">
        <v>202</v>
      </c>
      <c r="B52" s="17" t="s">
        <v>794</v>
      </c>
      <c r="D52" s="19">
        <v>10.73</v>
      </c>
      <c r="E52" s="20"/>
      <c r="F52" s="19">
        <f t="shared" si="3"/>
        <v>25161.85</v>
      </c>
    </row>
    <row r="53" ht="15.75" customHeight="1">
      <c r="A53" s="140" t="s">
        <v>795</v>
      </c>
      <c r="B53" s="17" t="s">
        <v>796</v>
      </c>
      <c r="D53" s="19">
        <v>5.44</v>
      </c>
      <c r="E53" s="20"/>
      <c r="F53" s="19">
        <f t="shared" si="3"/>
        <v>12756.8</v>
      </c>
    </row>
    <row r="54" ht="15.75" customHeight="1">
      <c r="D54" s="19"/>
      <c r="E54" s="20"/>
      <c r="F54" s="19">
        <f t="shared" si="3"/>
        <v>0</v>
      </c>
    </row>
    <row r="55" ht="15.75" customHeight="1">
      <c r="A55" s="34" t="s">
        <v>94</v>
      </c>
      <c r="B55" s="17" t="s">
        <v>95</v>
      </c>
      <c r="D55" s="19">
        <v>5.44</v>
      </c>
      <c r="F55" s="19">
        <f t="shared" si="3"/>
        <v>12756.8</v>
      </c>
    </row>
    <row r="56" ht="15.75" customHeight="1">
      <c r="A56" s="34" t="s">
        <v>797</v>
      </c>
      <c r="B56" s="17" t="s">
        <v>155</v>
      </c>
      <c r="D56" s="19">
        <v>0.91</v>
      </c>
      <c r="E56" s="20"/>
      <c r="F56" s="19">
        <f t="shared" si="3"/>
        <v>2133.95</v>
      </c>
    </row>
    <row r="57" ht="15.75" customHeight="1">
      <c r="A57" s="34" t="s">
        <v>210</v>
      </c>
      <c r="B57" s="17" t="s">
        <v>115</v>
      </c>
      <c r="D57" s="19">
        <v>1.27</v>
      </c>
      <c r="E57" s="20"/>
      <c r="F57" s="19">
        <f t="shared" si="3"/>
        <v>2978.15</v>
      </c>
    </row>
    <row r="58" ht="15.75" customHeight="1">
      <c r="A58" s="34" t="s">
        <v>205</v>
      </c>
      <c r="B58" s="17" t="s">
        <v>794</v>
      </c>
      <c r="D58" s="19">
        <v>9.03</v>
      </c>
      <c r="E58" s="20"/>
      <c r="F58" s="19">
        <f t="shared" si="3"/>
        <v>21175.35</v>
      </c>
    </row>
    <row r="59" ht="15.75" customHeight="1">
      <c r="A59" s="34" t="s">
        <v>232</v>
      </c>
      <c r="B59" s="40" t="s">
        <v>798</v>
      </c>
      <c r="D59" s="19">
        <v>5.44</v>
      </c>
      <c r="E59" s="20"/>
      <c r="F59" s="19">
        <f t="shared" si="3"/>
        <v>12756.8</v>
      </c>
    </row>
    <row r="60" ht="15.75" customHeight="1">
      <c r="A60" s="34" t="s">
        <v>799</v>
      </c>
      <c r="B60" s="17" t="s">
        <v>800</v>
      </c>
      <c r="D60" s="19">
        <v>0.64</v>
      </c>
      <c r="E60" s="20"/>
      <c r="F60" s="19">
        <f t="shared" si="3"/>
        <v>1500.8</v>
      </c>
    </row>
    <row r="61" ht="15.75" customHeight="1">
      <c r="A61" s="34" t="s">
        <v>801</v>
      </c>
      <c r="B61" s="17" t="s">
        <v>155</v>
      </c>
      <c r="D61" s="19">
        <v>0.64</v>
      </c>
      <c r="E61" s="20"/>
      <c r="F61" s="19">
        <f t="shared" si="3"/>
        <v>1500.8</v>
      </c>
    </row>
    <row r="62" ht="15.75" customHeight="1">
      <c r="A62" s="34" t="s">
        <v>102</v>
      </c>
      <c r="B62" s="17" t="s">
        <v>794</v>
      </c>
      <c r="D62" s="19">
        <v>3.44</v>
      </c>
      <c r="E62" s="20"/>
      <c r="F62" s="19">
        <f t="shared" si="3"/>
        <v>8066.8</v>
      </c>
    </row>
    <row r="63" ht="15.75" customHeight="1">
      <c r="A63" s="40"/>
      <c r="B63" s="17"/>
      <c r="C63" s="1"/>
      <c r="D63" s="19"/>
      <c r="E63" s="20"/>
      <c r="F63" s="19">
        <f t="shared" si="3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141" t="s">
        <v>104</v>
      </c>
      <c r="B64" s="17" t="s">
        <v>802</v>
      </c>
      <c r="D64" s="19">
        <v>3.36</v>
      </c>
      <c r="E64" s="138"/>
      <c r="F64" s="19">
        <f t="shared" si="3"/>
        <v>7879.2</v>
      </c>
    </row>
    <row r="65" ht="15.75" customHeight="1">
      <c r="A65" s="141" t="s">
        <v>117</v>
      </c>
      <c r="B65" s="17" t="s">
        <v>803</v>
      </c>
      <c r="D65" s="19">
        <v>14.51</v>
      </c>
      <c r="E65" s="20"/>
      <c r="F65" s="19">
        <f t="shared" si="3"/>
        <v>34025.95</v>
      </c>
    </row>
    <row r="66" ht="15.75" customHeight="1">
      <c r="A66" s="141" t="s">
        <v>208</v>
      </c>
      <c r="B66" s="17" t="s">
        <v>209</v>
      </c>
      <c r="D66" s="19">
        <v>5.44</v>
      </c>
      <c r="E66" s="20"/>
      <c r="F66" s="19">
        <f t="shared" si="3"/>
        <v>12756.8</v>
      </c>
    </row>
    <row r="67" ht="15.75" customHeight="1">
      <c r="A67" s="141" t="s">
        <v>804</v>
      </c>
      <c r="B67" s="17" t="s">
        <v>53</v>
      </c>
      <c r="D67" s="19">
        <v>3.2</v>
      </c>
      <c r="E67" s="20"/>
      <c r="F67" s="19">
        <f t="shared" si="3"/>
        <v>7504</v>
      </c>
    </row>
    <row r="68" ht="15.75" customHeight="1">
      <c r="A68" s="141" t="s">
        <v>805</v>
      </c>
      <c r="B68" s="17" t="s">
        <v>53</v>
      </c>
      <c r="D68" s="19">
        <v>1.49</v>
      </c>
      <c r="E68" s="20"/>
      <c r="F68" s="19">
        <f t="shared" si="3"/>
        <v>3494.05</v>
      </c>
    </row>
    <row r="69" ht="15.75" customHeight="1">
      <c r="A69" s="141" t="s">
        <v>213</v>
      </c>
      <c r="B69" s="17" t="s">
        <v>53</v>
      </c>
      <c r="D69" s="19">
        <v>1.07</v>
      </c>
      <c r="E69" s="20"/>
      <c r="F69" s="19">
        <f t="shared" si="3"/>
        <v>2509.15</v>
      </c>
    </row>
    <row r="70" ht="15.75" customHeight="1">
      <c r="A70" s="141" t="s">
        <v>121</v>
      </c>
      <c r="B70" s="17" t="s">
        <v>115</v>
      </c>
      <c r="D70" s="19">
        <v>1.81</v>
      </c>
      <c r="E70" s="20"/>
      <c r="F70" s="19">
        <f t="shared" si="3"/>
        <v>4244.45</v>
      </c>
    </row>
    <row r="71" ht="15.75" customHeight="1">
      <c r="D71" s="19"/>
      <c r="E71" s="20"/>
      <c r="F71" s="19">
        <f t="shared" si="3"/>
        <v>0</v>
      </c>
    </row>
    <row r="72" ht="15.75" customHeight="1">
      <c r="A72" s="39" t="s">
        <v>66</v>
      </c>
      <c r="B72" s="17" t="s">
        <v>806</v>
      </c>
      <c r="D72" s="19">
        <v>1.81</v>
      </c>
      <c r="F72" s="19">
        <f t="shared" si="3"/>
        <v>4244.45</v>
      </c>
    </row>
    <row r="73" ht="15.75" customHeight="1">
      <c r="A73" s="39" t="s">
        <v>807</v>
      </c>
      <c r="B73" s="17" t="s">
        <v>806</v>
      </c>
      <c r="D73" s="19">
        <v>2.72</v>
      </c>
      <c r="E73" s="20"/>
      <c r="F73" s="19">
        <f t="shared" si="3"/>
        <v>6378.4</v>
      </c>
    </row>
    <row r="74" ht="15.75" customHeight="1">
      <c r="A74" s="39" t="s">
        <v>808</v>
      </c>
      <c r="B74" s="17" t="s">
        <v>809</v>
      </c>
      <c r="D74" s="19">
        <v>1.81</v>
      </c>
      <c r="E74" s="20"/>
      <c r="F74" s="19">
        <f t="shared" si="3"/>
        <v>4244.45</v>
      </c>
    </row>
    <row r="75" ht="15.75" customHeight="1">
      <c r="A75" s="39" t="s">
        <v>810</v>
      </c>
      <c r="B75" s="17" t="s">
        <v>811</v>
      </c>
      <c r="D75" s="19">
        <v>2.13</v>
      </c>
      <c r="E75" s="20"/>
      <c r="F75" s="19">
        <f t="shared" si="3"/>
        <v>4994.85</v>
      </c>
    </row>
    <row r="76" ht="15.75" customHeight="1">
      <c r="A76" s="39" t="s">
        <v>812</v>
      </c>
      <c r="B76" s="17" t="s">
        <v>813</v>
      </c>
      <c r="D76" s="19">
        <v>2.13</v>
      </c>
      <c r="E76" s="20"/>
      <c r="F76" s="19">
        <f t="shared" si="3"/>
        <v>4994.85</v>
      </c>
    </row>
    <row r="77" ht="15.75" customHeight="1">
      <c r="D77" s="19"/>
      <c r="E77" s="20"/>
      <c r="F77" s="19">
        <f t="shared" si="3"/>
        <v>0</v>
      </c>
    </row>
    <row r="78" ht="15.75" customHeight="1">
      <c r="A78" s="142" t="s">
        <v>219</v>
      </c>
      <c r="B78" s="17" t="s">
        <v>814</v>
      </c>
      <c r="D78" s="19">
        <v>0.91</v>
      </c>
      <c r="F78" s="19">
        <f t="shared" si="3"/>
        <v>2133.95</v>
      </c>
    </row>
    <row r="79" ht="15.75" customHeight="1">
      <c r="A79" s="143" t="s">
        <v>130</v>
      </c>
      <c r="B79" s="17" t="s">
        <v>815</v>
      </c>
      <c r="D79" s="19">
        <v>6.53</v>
      </c>
      <c r="E79" s="20"/>
      <c r="F79" s="19">
        <f t="shared" si="3"/>
        <v>15312.85</v>
      </c>
    </row>
    <row r="80" ht="15.75" customHeight="1">
      <c r="D80" s="19"/>
      <c r="E80" s="20"/>
      <c r="F80" s="19">
        <f t="shared" si="3"/>
        <v>0</v>
      </c>
    </row>
    <row r="81" ht="15.75" customHeight="1">
      <c r="A81" s="144" t="s">
        <v>816</v>
      </c>
      <c r="B81" s="17" t="s">
        <v>779</v>
      </c>
      <c r="D81" s="19">
        <v>4.07</v>
      </c>
      <c r="F81" s="19">
        <f t="shared" si="3"/>
        <v>9544.15</v>
      </c>
    </row>
    <row r="82" ht="15.75" customHeight="1">
      <c r="A82" s="145" t="s">
        <v>220</v>
      </c>
      <c r="B82" s="17" t="s">
        <v>817</v>
      </c>
      <c r="D82" s="19">
        <v>3.63</v>
      </c>
      <c r="E82" s="20"/>
      <c r="F82" s="19">
        <f t="shared" si="3"/>
        <v>8512.35</v>
      </c>
    </row>
    <row r="83" ht="15.75" customHeight="1">
      <c r="D83" s="19"/>
      <c r="E83" s="20"/>
      <c r="F83" s="19"/>
    </row>
    <row r="84" ht="15.75" customHeight="1">
      <c r="D84" s="19"/>
      <c r="F84" s="19"/>
    </row>
    <row r="85" ht="15.75" customHeight="1">
      <c r="A85" s="40"/>
      <c r="B85" s="40"/>
      <c r="D85" s="19"/>
      <c r="E85" s="18"/>
      <c r="F85" s="19"/>
    </row>
    <row r="86" ht="15.75" customHeight="1">
      <c r="A86" s="17"/>
      <c r="D86" s="19"/>
      <c r="E86" s="18"/>
      <c r="F86" s="19"/>
    </row>
    <row r="87" ht="15.75" customHeight="1">
      <c r="A87" s="60"/>
      <c r="B87" s="17"/>
      <c r="D87" s="19"/>
      <c r="E87" s="18"/>
      <c r="F87" s="19"/>
    </row>
    <row r="88" ht="15.75" customHeight="1">
      <c r="A88" s="60"/>
      <c r="B88" s="17"/>
      <c r="D88" s="19"/>
      <c r="E88" s="18"/>
      <c r="F88" s="19"/>
    </row>
    <row r="89" ht="15.75" customHeight="1">
      <c r="B89" s="1"/>
      <c r="D89" s="19"/>
      <c r="E89" s="18"/>
      <c r="F89" s="19"/>
    </row>
    <row r="90" ht="15.75" customHeight="1">
      <c r="B90" s="1"/>
      <c r="D90" s="19"/>
      <c r="E90" s="18"/>
      <c r="F90" s="19"/>
    </row>
    <row r="91" ht="15.75" customHeight="1">
      <c r="B91" s="1"/>
      <c r="D91" s="19"/>
      <c r="E91" s="18"/>
      <c r="F91" s="19"/>
    </row>
    <row r="92" ht="15.75" customHeight="1">
      <c r="B92" s="1"/>
      <c r="D92" s="19"/>
      <c r="E92" s="18"/>
      <c r="F92" s="19"/>
    </row>
    <row r="93" ht="15.75" customHeight="1">
      <c r="B93" s="1"/>
      <c r="D93" s="19"/>
      <c r="E93" s="18"/>
      <c r="F93" s="19"/>
    </row>
    <row r="94" ht="15.75" customHeight="1">
      <c r="B94" s="1"/>
      <c r="D94" s="19"/>
      <c r="E94" s="18"/>
      <c r="F94" s="19"/>
    </row>
    <row r="95" ht="15.75" customHeight="1">
      <c r="B95" s="1"/>
      <c r="D95" s="19"/>
      <c r="E95" s="18"/>
      <c r="F95" s="19"/>
    </row>
    <row r="96" ht="15.75" customHeight="1">
      <c r="B96" s="1"/>
      <c r="D96" s="19"/>
      <c r="E96" s="18"/>
      <c r="F96" s="19"/>
    </row>
    <row r="97" ht="15.75" customHeight="1">
      <c r="B97" s="1"/>
      <c r="D97" s="19"/>
      <c r="E97" s="18"/>
      <c r="F97" s="19"/>
    </row>
    <row r="98" ht="15.75" customHeight="1">
      <c r="B98" s="1"/>
      <c r="D98" s="19"/>
      <c r="E98" s="18"/>
      <c r="F98" s="19"/>
    </row>
    <row r="99" ht="15.75" customHeight="1">
      <c r="B99" s="1"/>
      <c r="D99" s="19"/>
      <c r="E99" s="18"/>
      <c r="F99" s="19"/>
    </row>
    <row r="100" ht="15.75" customHeight="1">
      <c r="B100" s="1"/>
      <c r="D100" s="19"/>
      <c r="E100" s="18"/>
      <c r="F100" s="19"/>
    </row>
    <row r="101" ht="15.75" customHeight="1">
      <c r="B101" s="1"/>
      <c r="D101" s="19"/>
      <c r="E101" s="18"/>
      <c r="F101" s="19"/>
    </row>
    <row r="102" ht="15.75" customHeight="1">
      <c r="B102" s="1"/>
      <c r="D102" s="19"/>
      <c r="E102" s="18"/>
      <c r="F102" s="19"/>
    </row>
    <row r="103" ht="15.75" customHeight="1">
      <c r="B103" s="1"/>
      <c r="D103" s="19"/>
      <c r="E103" s="18"/>
      <c r="F103" s="19"/>
    </row>
    <row r="104" ht="15.75" customHeight="1">
      <c r="B104" s="1"/>
      <c r="D104" s="19"/>
      <c r="E104" s="18"/>
      <c r="F104" s="19"/>
    </row>
    <row r="105" ht="15.75" customHeight="1">
      <c r="B105" s="1"/>
      <c r="D105" s="19"/>
      <c r="E105" s="18"/>
      <c r="F105" s="19"/>
    </row>
    <row r="106" ht="15.75" customHeight="1">
      <c r="B106" s="1"/>
      <c r="D106" s="19"/>
      <c r="E106" s="18"/>
      <c r="F106" s="19"/>
    </row>
    <row r="107" ht="15.75" customHeight="1">
      <c r="B107" s="1"/>
      <c r="D107" s="19"/>
      <c r="E107" s="18"/>
      <c r="F107" s="19"/>
    </row>
    <row r="108" ht="15.75" customHeight="1">
      <c r="B108" s="1"/>
      <c r="D108" s="19"/>
      <c r="E108" s="18"/>
      <c r="F108" s="19"/>
    </row>
    <row r="109" ht="15.75" customHeight="1">
      <c r="B109" s="1"/>
      <c r="D109" s="19"/>
      <c r="E109" s="18"/>
      <c r="F109" s="19"/>
    </row>
    <row r="110" ht="15.75" customHeight="1">
      <c r="B110" s="1"/>
      <c r="D110" s="19"/>
      <c r="E110" s="18"/>
      <c r="F110" s="19"/>
    </row>
    <row r="111" ht="15.75" customHeight="1">
      <c r="B111" s="1"/>
      <c r="D111" s="19"/>
      <c r="E111" s="18"/>
      <c r="F111" s="19"/>
    </row>
    <row r="112" ht="15.75" customHeight="1">
      <c r="B112" s="1"/>
      <c r="D112" s="19"/>
      <c r="E112" s="18"/>
      <c r="F112" s="19"/>
    </row>
    <row r="113" ht="15.75" customHeight="1">
      <c r="B113" s="1"/>
      <c r="D113" s="19"/>
      <c r="E113" s="18"/>
      <c r="F113" s="19"/>
    </row>
    <row r="114" ht="15.75" customHeight="1">
      <c r="B114" s="1"/>
      <c r="D114" s="19"/>
      <c r="E114" s="18"/>
      <c r="F114" s="19"/>
    </row>
    <row r="115" ht="15.75" customHeight="1">
      <c r="B115" s="1"/>
      <c r="D115" s="19"/>
      <c r="E115" s="18"/>
      <c r="F115" s="19"/>
    </row>
    <row r="116" ht="15.75" customHeight="1">
      <c r="B116" s="1"/>
      <c r="D116" s="19"/>
      <c r="E116" s="18"/>
      <c r="F116" s="19"/>
    </row>
    <row r="117" ht="15.75" customHeight="1">
      <c r="B117" s="1"/>
      <c r="D117" s="19"/>
      <c r="E117" s="18"/>
      <c r="F117" s="19"/>
    </row>
    <row r="118" ht="15.75" customHeight="1">
      <c r="B118" s="1"/>
      <c r="D118" s="19"/>
      <c r="E118" s="18"/>
      <c r="F118" s="19"/>
    </row>
    <row r="119" ht="15.75" customHeight="1">
      <c r="B119" s="1"/>
      <c r="D119" s="19"/>
      <c r="E119" s="18"/>
      <c r="F119" s="19"/>
    </row>
    <row r="120" ht="15.75" customHeight="1">
      <c r="B120" s="1"/>
      <c r="D120" s="19"/>
      <c r="E120" s="18"/>
      <c r="F120" s="19"/>
    </row>
    <row r="121" ht="15.75" customHeight="1">
      <c r="B121" s="1"/>
      <c r="D121" s="19"/>
      <c r="E121" s="18"/>
      <c r="F121" s="19"/>
    </row>
    <row r="122" ht="15.75" customHeight="1">
      <c r="B122" s="1"/>
      <c r="D122" s="19"/>
      <c r="E122" s="18"/>
      <c r="F122" s="19"/>
    </row>
    <row r="123" ht="15.75" customHeight="1">
      <c r="B123" s="1"/>
      <c r="D123" s="19"/>
      <c r="E123" s="18"/>
      <c r="F123" s="19"/>
    </row>
    <row r="124" ht="15.75" customHeight="1">
      <c r="B124" s="1"/>
      <c r="D124" s="19"/>
      <c r="E124" s="18"/>
      <c r="F124" s="19"/>
    </row>
    <row r="125" ht="15.75" customHeight="1">
      <c r="B125" s="1"/>
      <c r="D125" s="19"/>
      <c r="E125" s="18"/>
      <c r="F125" s="19"/>
    </row>
    <row r="126" ht="15.75" customHeight="1">
      <c r="B126" s="1"/>
      <c r="D126" s="19"/>
      <c r="E126" s="18"/>
      <c r="F126" s="19"/>
    </row>
    <row r="127" ht="15.75" customHeight="1">
      <c r="B127" s="1"/>
      <c r="D127" s="19"/>
      <c r="E127" s="18"/>
      <c r="F127" s="19"/>
    </row>
    <row r="128" ht="15.75" customHeight="1">
      <c r="B128" s="1"/>
      <c r="D128" s="19"/>
      <c r="E128" s="18"/>
      <c r="F128" s="19"/>
    </row>
    <row r="129" ht="15.75" customHeight="1">
      <c r="B129" s="1"/>
      <c r="D129" s="19"/>
      <c r="E129" s="18"/>
      <c r="F129" s="19"/>
    </row>
    <row r="130" ht="15.75" customHeight="1">
      <c r="B130" s="1"/>
      <c r="D130" s="19"/>
      <c r="E130" s="18"/>
      <c r="F130" s="19"/>
    </row>
    <row r="131" ht="15.75" customHeight="1">
      <c r="B131" s="1"/>
      <c r="D131" s="19"/>
      <c r="E131" s="18"/>
      <c r="F131" s="19"/>
    </row>
    <row r="132" ht="15.75" customHeight="1">
      <c r="B132" s="1"/>
      <c r="D132" s="19"/>
      <c r="E132" s="18"/>
      <c r="F132" s="19"/>
    </row>
    <row r="133" ht="15.75" customHeight="1">
      <c r="B133" s="1"/>
      <c r="D133" s="19"/>
      <c r="E133" s="18"/>
      <c r="F133" s="19"/>
    </row>
    <row r="134" ht="15.75" customHeight="1">
      <c r="B134" s="1"/>
      <c r="D134" s="19"/>
      <c r="E134" s="18"/>
      <c r="F134" s="19"/>
    </row>
    <row r="135" ht="15.75" customHeight="1">
      <c r="B135" s="1"/>
      <c r="D135" s="19"/>
      <c r="E135" s="18"/>
      <c r="F135" s="19"/>
    </row>
    <row r="136" ht="15.75" customHeight="1">
      <c r="B136" s="1"/>
      <c r="D136" s="19"/>
      <c r="E136" s="18"/>
      <c r="F136" s="19"/>
    </row>
    <row r="137" ht="15.75" customHeight="1">
      <c r="B137" s="1"/>
      <c r="D137" s="19"/>
      <c r="E137" s="18"/>
      <c r="F137" s="19"/>
    </row>
    <row r="138" ht="15.75" customHeight="1">
      <c r="B138" s="1"/>
      <c r="D138" s="19"/>
      <c r="E138" s="18"/>
      <c r="F138" s="19"/>
    </row>
    <row r="139" ht="15.75" customHeight="1">
      <c r="B139" s="1"/>
      <c r="D139" s="19"/>
      <c r="E139" s="18"/>
      <c r="F139" s="19"/>
    </row>
    <row r="140" ht="15.75" customHeight="1">
      <c r="B140" s="1"/>
      <c r="D140" s="19"/>
      <c r="E140" s="18"/>
      <c r="F140" s="19"/>
    </row>
    <row r="141" ht="15.75" customHeight="1">
      <c r="B141" s="1"/>
      <c r="D141" s="19"/>
      <c r="E141" s="18"/>
      <c r="F141" s="19"/>
    </row>
    <row r="142" ht="15.75" customHeight="1">
      <c r="B142" s="1"/>
      <c r="D142" s="19"/>
      <c r="E142" s="18"/>
      <c r="F142" s="19"/>
    </row>
    <row r="143" ht="15.75" customHeight="1">
      <c r="B143" s="1"/>
      <c r="D143" s="19"/>
      <c r="E143" s="18"/>
      <c r="F143" s="19"/>
    </row>
    <row r="144" ht="15.75" customHeight="1">
      <c r="B144" s="1"/>
      <c r="D144" s="19"/>
      <c r="E144" s="18"/>
      <c r="F144" s="19"/>
    </row>
    <row r="145" ht="15.75" customHeight="1">
      <c r="B145" s="1"/>
      <c r="D145" s="19"/>
      <c r="E145" s="18"/>
      <c r="F145" s="19"/>
    </row>
    <row r="146" ht="15.75" customHeight="1">
      <c r="B146" s="1"/>
      <c r="D146" s="19"/>
      <c r="E146" s="18"/>
      <c r="F146" s="19"/>
    </row>
    <row r="147" ht="15.75" customHeight="1">
      <c r="B147" s="1"/>
      <c r="D147" s="19"/>
      <c r="E147" s="18"/>
      <c r="F147" s="19"/>
    </row>
    <row r="148" ht="15.75" customHeight="1">
      <c r="B148" s="1"/>
      <c r="D148" s="19"/>
      <c r="E148" s="18"/>
      <c r="F148" s="19"/>
    </row>
    <row r="149" ht="15.75" customHeight="1">
      <c r="B149" s="1"/>
      <c r="D149" s="19"/>
      <c r="E149" s="18"/>
      <c r="F149" s="19"/>
    </row>
    <row r="150" ht="15.75" customHeight="1">
      <c r="B150" s="1"/>
      <c r="D150" s="19"/>
      <c r="E150" s="18"/>
      <c r="F150" s="19"/>
    </row>
    <row r="151" ht="15.75" customHeight="1">
      <c r="B151" s="1"/>
      <c r="D151" s="19"/>
      <c r="E151" s="18"/>
      <c r="F151" s="19"/>
    </row>
    <row r="152" ht="15.75" customHeight="1">
      <c r="B152" s="1"/>
      <c r="D152" s="19"/>
      <c r="E152" s="18"/>
      <c r="F152" s="19"/>
    </row>
    <row r="153" ht="15.75" customHeight="1">
      <c r="B153" s="1"/>
      <c r="D153" s="19"/>
      <c r="E153" s="18"/>
      <c r="F153" s="19"/>
    </row>
    <row r="154" ht="15.75" customHeight="1">
      <c r="B154" s="1"/>
      <c r="D154" s="19"/>
      <c r="E154" s="18"/>
      <c r="F154" s="19"/>
    </row>
    <row r="155" ht="15.75" customHeight="1">
      <c r="B155" s="1"/>
      <c r="D155" s="19"/>
      <c r="E155" s="18"/>
      <c r="F155" s="19"/>
    </row>
    <row r="156" ht="15.75" customHeight="1">
      <c r="B156" s="1"/>
      <c r="D156" s="19"/>
      <c r="E156" s="18"/>
      <c r="F156" s="19"/>
    </row>
    <row r="157" ht="15.75" customHeight="1">
      <c r="B157" s="1"/>
      <c r="D157" s="19"/>
      <c r="E157" s="18"/>
      <c r="F157" s="19"/>
    </row>
    <row r="158" ht="15.75" customHeight="1">
      <c r="B158" s="1"/>
      <c r="D158" s="19"/>
      <c r="E158" s="18"/>
      <c r="F158" s="19"/>
    </row>
    <row r="159" ht="15.75" customHeight="1">
      <c r="B159" s="1"/>
      <c r="D159" s="19"/>
      <c r="E159" s="18"/>
      <c r="F159" s="19"/>
    </row>
    <row r="160" ht="15.75" customHeight="1">
      <c r="B160" s="1"/>
      <c r="D160" s="19"/>
      <c r="E160" s="18"/>
      <c r="F160" s="19"/>
    </row>
    <row r="161" ht="15.75" customHeight="1">
      <c r="B161" s="1"/>
      <c r="D161" s="19"/>
      <c r="E161" s="18"/>
      <c r="F161" s="19"/>
    </row>
    <row r="162" ht="15.75" customHeight="1">
      <c r="B162" s="1"/>
      <c r="D162" s="19"/>
      <c r="E162" s="18"/>
      <c r="F162" s="19"/>
    </row>
    <row r="163" ht="15.75" customHeight="1">
      <c r="B163" s="1"/>
      <c r="D163" s="19"/>
      <c r="E163" s="18"/>
      <c r="F163" s="19"/>
    </row>
    <row r="164" ht="15.75" customHeight="1">
      <c r="B164" s="1"/>
      <c r="D164" s="19"/>
      <c r="E164" s="18"/>
      <c r="F164" s="19"/>
    </row>
    <row r="165" ht="15.75" customHeight="1">
      <c r="B165" s="1"/>
      <c r="D165" s="19"/>
      <c r="E165" s="18"/>
      <c r="F165" s="19"/>
    </row>
    <row r="166" ht="15.75" customHeight="1">
      <c r="B166" s="1"/>
      <c r="D166" s="19"/>
      <c r="E166" s="18"/>
      <c r="F166" s="19"/>
    </row>
    <row r="167" ht="15.75" customHeight="1">
      <c r="B167" s="1"/>
      <c r="D167" s="19"/>
      <c r="E167" s="18"/>
      <c r="F167" s="19"/>
    </row>
    <row r="168" ht="15.75" customHeight="1">
      <c r="B168" s="1"/>
      <c r="D168" s="19"/>
      <c r="E168" s="18"/>
      <c r="F168" s="19"/>
    </row>
    <row r="169" ht="15.75" customHeight="1">
      <c r="B169" s="1"/>
      <c r="D169" s="19"/>
      <c r="E169" s="18"/>
      <c r="F169" s="19"/>
    </row>
    <row r="170" ht="15.75" customHeight="1">
      <c r="B170" s="1"/>
      <c r="D170" s="19"/>
      <c r="E170" s="18"/>
      <c r="F170" s="19"/>
    </row>
    <row r="171" ht="15.75" customHeight="1">
      <c r="B171" s="1"/>
      <c r="D171" s="19"/>
      <c r="E171" s="18"/>
      <c r="F171" s="19"/>
    </row>
    <row r="172" ht="15.75" customHeight="1">
      <c r="B172" s="1"/>
      <c r="D172" s="19"/>
      <c r="E172" s="18"/>
      <c r="F172" s="19"/>
    </row>
    <row r="173" ht="15.75" customHeight="1">
      <c r="B173" s="1"/>
      <c r="D173" s="19"/>
      <c r="E173" s="18"/>
      <c r="F173" s="19"/>
    </row>
    <row r="174" ht="15.75" customHeight="1">
      <c r="B174" s="1"/>
      <c r="D174" s="19"/>
      <c r="E174" s="18"/>
      <c r="F174" s="19"/>
    </row>
    <row r="175" ht="15.75" customHeight="1">
      <c r="B175" s="1"/>
      <c r="D175" s="19"/>
      <c r="E175" s="18"/>
      <c r="F175" s="19"/>
    </row>
    <row r="176" ht="15.75" customHeight="1">
      <c r="B176" s="1"/>
      <c r="D176" s="19"/>
      <c r="E176" s="18"/>
      <c r="F176" s="19"/>
    </row>
    <row r="177" ht="15.75" customHeight="1">
      <c r="B177" s="1"/>
      <c r="D177" s="19"/>
      <c r="E177" s="18"/>
      <c r="F177" s="19"/>
    </row>
    <row r="178" ht="15.75" customHeight="1">
      <c r="B178" s="1"/>
      <c r="D178" s="19"/>
      <c r="E178" s="18"/>
      <c r="F178" s="19"/>
    </row>
    <row r="179" ht="15.75" customHeight="1">
      <c r="B179" s="1"/>
      <c r="D179" s="19"/>
      <c r="E179" s="18"/>
      <c r="F179" s="19"/>
    </row>
    <row r="180" ht="15.75" customHeight="1">
      <c r="B180" s="1"/>
      <c r="D180" s="19"/>
      <c r="E180" s="18"/>
      <c r="F180" s="19"/>
    </row>
    <row r="181" ht="15.75" customHeight="1">
      <c r="B181" s="1"/>
      <c r="D181" s="19"/>
      <c r="E181" s="18"/>
      <c r="F181" s="19"/>
    </row>
    <row r="182" ht="15.75" customHeight="1">
      <c r="B182" s="1"/>
      <c r="D182" s="19"/>
      <c r="E182" s="18"/>
      <c r="F182" s="19"/>
    </row>
    <row r="183" ht="15.75" customHeight="1">
      <c r="B183" s="1"/>
      <c r="D183" s="19"/>
      <c r="E183" s="18"/>
      <c r="F183" s="19"/>
    </row>
    <row r="184" ht="15.75" customHeight="1">
      <c r="B184" s="1"/>
      <c r="D184" s="19"/>
      <c r="E184" s="18"/>
      <c r="F184" s="19"/>
    </row>
    <row r="185" ht="15.75" customHeight="1">
      <c r="B185" s="1"/>
      <c r="D185" s="19"/>
      <c r="E185" s="18"/>
      <c r="F185" s="19"/>
    </row>
    <row r="186" ht="15.75" customHeight="1">
      <c r="B186" s="1"/>
      <c r="D186" s="19"/>
      <c r="E186" s="18"/>
      <c r="F186" s="19"/>
    </row>
    <row r="187" ht="15.75" customHeight="1">
      <c r="B187" s="1"/>
      <c r="D187" s="19"/>
      <c r="E187" s="18"/>
      <c r="F187" s="19"/>
    </row>
    <row r="188" ht="15.75" customHeight="1">
      <c r="B188" s="1"/>
      <c r="D188" s="19"/>
      <c r="E188" s="18"/>
      <c r="F188" s="19"/>
    </row>
    <row r="189" ht="15.75" customHeight="1">
      <c r="B189" s="1"/>
      <c r="D189" s="19"/>
      <c r="E189" s="18"/>
      <c r="F189" s="19"/>
    </row>
    <row r="190" ht="15.75" customHeight="1">
      <c r="B190" s="1"/>
      <c r="D190" s="19"/>
      <c r="E190" s="18"/>
      <c r="F190" s="19"/>
    </row>
    <row r="191" ht="15.75" customHeight="1">
      <c r="B191" s="1"/>
      <c r="D191" s="19"/>
      <c r="E191" s="18"/>
      <c r="F191" s="19"/>
    </row>
    <row r="192" ht="15.75" customHeight="1">
      <c r="B192" s="1"/>
      <c r="D192" s="19"/>
      <c r="E192" s="18"/>
      <c r="F192" s="19"/>
    </row>
    <row r="193" ht="15.75" customHeight="1">
      <c r="B193" s="1"/>
      <c r="D193" s="19"/>
      <c r="E193" s="18"/>
      <c r="F193" s="19"/>
    </row>
    <row r="194" ht="15.75" customHeight="1">
      <c r="B194" s="1"/>
      <c r="D194" s="19"/>
      <c r="E194" s="18"/>
      <c r="F194" s="19"/>
    </row>
    <row r="195" ht="15.75" customHeight="1">
      <c r="B195" s="1"/>
      <c r="D195" s="19"/>
      <c r="E195" s="18"/>
      <c r="F195" s="19"/>
    </row>
    <row r="196" ht="15.75" customHeight="1">
      <c r="B196" s="1"/>
      <c r="D196" s="19"/>
      <c r="E196" s="18"/>
      <c r="F196" s="19"/>
    </row>
    <row r="197" ht="15.75" customHeight="1">
      <c r="B197" s="1"/>
      <c r="D197" s="19"/>
      <c r="E197" s="18"/>
      <c r="F197" s="19"/>
    </row>
    <row r="198" ht="15.75" customHeight="1">
      <c r="B198" s="1"/>
      <c r="D198" s="19"/>
      <c r="E198" s="18"/>
      <c r="F198" s="19"/>
    </row>
    <row r="199" ht="15.75" customHeight="1">
      <c r="B199" s="1"/>
      <c r="D199" s="19"/>
      <c r="E199" s="18"/>
      <c r="F199" s="19"/>
    </row>
    <row r="200" ht="15.75" customHeight="1">
      <c r="B200" s="1"/>
      <c r="D200" s="19"/>
      <c r="E200" s="18"/>
      <c r="F200" s="19"/>
    </row>
    <row r="201" ht="15.75" customHeight="1">
      <c r="B201" s="1"/>
      <c r="D201" s="19"/>
      <c r="E201" s="18"/>
      <c r="F201" s="19"/>
    </row>
    <row r="202" ht="15.75" customHeight="1">
      <c r="B202" s="1"/>
      <c r="D202" s="19"/>
      <c r="E202" s="18"/>
      <c r="F202" s="19"/>
    </row>
    <row r="203" ht="15.75" customHeight="1">
      <c r="B203" s="1"/>
      <c r="D203" s="19"/>
      <c r="E203" s="18"/>
      <c r="F203" s="19"/>
    </row>
    <row r="204" ht="15.75" customHeight="1">
      <c r="B204" s="1"/>
      <c r="D204" s="19"/>
      <c r="E204" s="18"/>
      <c r="F204" s="19"/>
    </row>
    <row r="205" ht="15.75" customHeight="1">
      <c r="B205" s="1"/>
      <c r="D205" s="19"/>
      <c r="E205" s="18"/>
      <c r="F205" s="19"/>
    </row>
    <row r="206" ht="15.75" customHeight="1">
      <c r="B206" s="1"/>
      <c r="D206" s="19"/>
      <c r="E206" s="18"/>
      <c r="F206" s="19"/>
    </row>
    <row r="207" ht="15.75" customHeight="1">
      <c r="B207" s="1"/>
      <c r="D207" s="19"/>
      <c r="E207" s="18"/>
      <c r="F207" s="19"/>
    </row>
    <row r="208" ht="15.75" customHeight="1">
      <c r="B208" s="1"/>
      <c r="D208" s="19"/>
      <c r="E208" s="18"/>
      <c r="F208" s="19"/>
    </row>
    <row r="209" ht="15.75" customHeight="1">
      <c r="B209" s="1"/>
      <c r="D209" s="19"/>
      <c r="E209" s="18"/>
      <c r="F209" s="19"/>
    </row>
    <row r="210" ht="15.75" customHeight="1">
      <c r="B210" s="1"/>
      <c r="D210" s="19"/>
      <c r="E210" s="18"/>
      <c r="F210" s="19"/>
    </row>
    <row r="211" ht="15.75" customHeight="1">
      <c r="B211" s="1"/>
      <c r="D211" s="19"/>
      <c r="E211" s="18"/>
      <c r="F211" s="19"/>
    </row>
    <row r="212" ht="15.75" customHeight="1">
      <c r="B212" s="1"/>
      <c r="D212" s="19"/>
      <c r="E212" s="18"/>
      <c r="F212" s="19"/>
    </row>
    <row r="213" ht="15.75" customHeight="1">
      <c r="B213" s="1"/>
      <c r="D213" s="19"/>
      <c r="E213" s="18"/>
      <c r="F213" s="19"/>
    </row>
    <row r="214" ht="15.75" customHeight="1">
      <c r="B214" s="1"/>
      <c r="D214" s="19"/>
      <c r="E214" s="18"/>
      <c r="F214" s="19"/>
    </row>
    <row r="215" ht="15.75" customHeight="1">
      <c r="B215" s="1"/>
      <c r="D215" s="19"/>
      <c r="E215" s="18"/>
      <c r="F215" s="19"/>
    </row>
    <row r="216" ht="15.75" customHeight="1">
      <c r="B216" s="1"/>
      <c r="D216" s="19"/>
      <c r="E216" s="18"/>
      <c r="F216" s="19"/>
    </row>
    <row r="217" ht="15.75" customHeight="1">
      <c r="B217" s="1"/>
      <c r="D217" s="19"/>
      <c r="E217" s="18"/>
      <c r="F217" s="19"/>
    </row>
    <row r="218" ht="15.75" customHeight="1">
      <c r="B218" s="1"/>
      <c r="D218" s="19"/>
      <c r="E218" s="18"/>
      <c r="F218" s="19"/>
    </row>
    <row r="219" ht="15.75" customHeight="1">
      <c r="B219" s="1"/>
      <c r="D219" s="19"/>
      <c r="E219" s="18"/>
      <c r="F219" s="19"/>
    </row>
    <row r="220" ht="15.75" customHeight="1">
      <c r="B220" s="1"/>
      <c r="D220" s="19"/>
      <c r="E220" s="18"/>
      <c r="F220" s="19"/>
    </row>
    <row r="221" ht="15.75" customHeight="1">
      <c r="B221" s="1"/>
      <c r="D221" s="19"/>
      <c r="E221" s="18"/>
      <c r="F221" s="19"/>
    </row>
    <row r="222" ht="15.75" customHeight="1">
      <c r="B222" s="1"/>
      <c r="D222" s="19"/>
      <c r="E222" s="18"/>
      <c r="F222" s="19"/>
    </row>
    <row r="223" ht="15.75" customHeight="1">
      <c r="B223" s="1"/>
      <c r="D223" s="19"/>
      <c r="E223" s="18"/>
      <c r="F223" s="19"/>
    </row>
    <row r="224" ht="15.75" customHeight="1">
      <c r="B224" s="1"/>
      <c r="D224" s="19"/>
      <c r="E224" s="18"/>
      <c r="F224" s="19"/>
    </row>
    <row r="225" ht="15.75" customHeight="1">
      <c r="B225" s="1"/>
      <c r="D225" s="19"/>
      <c r="E225" s="18"/>
      <c r="F225" s="19"/>
    </row>
    <row r="226" ht="15.75" customHeight="1">
      <c r="B226" s="1"/>
      <c r="D226" s="19"/>
      <c r="E226" s="18"/>
      <c r="F226" s="19"/>
    </row>
    <row r="227" ht="15.75" customHeight="1">
      <c r="B227" s="1"/>
      <c r="D227" s="19"/>
      <c r="E227" s="18"/>
      <c r="F227" s="19"/>
    </row>
    <row r="228" ht="15.75" customHeight="1">
      <c r="B228" s="1"/>
      <c r="D228" s="19"/>
      <c r="E228" s="18"/>
      <c r="F228" s="19"/>
    </row>
    <row r="229" ht="15.75" customHeight="1">
      <c r="B229" s="1"/>
      <c r="D229" s="19"/>
      <c r="E229" s="18"/>
      <c r="F229" s="19"/>
    </row>
    <row r="230" ht="15.75" customHeight="1">
      <c r="B230" s="1"/>
      <c r="D230" s="19"/>
      <c r="E230" s="18"/>
      <c r="F230" s="19"/>
    </row>
    <row r="231" ht="15.75" customHeight="1">
      <c r="B231" s="1"/>
      <c r="D231" s="19"/>
      <c r="E231" s="18"/>
      <c r="F231" s="19"/>
    </row>
    <row r="232" ht="15.75" customHeight="1">
      <c r="B232" s="1"/>
      <c r="D232" s="19"/>
      <c r="E232" s="18"/>
      <c r="F232" s="19"/>
    </row>
    <row r="233" ht="15.75" customHeight="1">
      <c r="B233" s="1"/>
      <c r="D233" s="19"/>
      <c r="E233" s="18"/>
      <c r="F233" s="19"/>
    </row>
    <row r="234" ht="15.75" customHeight="1">
      <c r="B234" s="1"/>
      <c r="D234" s="19"/>
      <c r="E234" s="18"/>
      <c r="F234" s="19"/>
    </row>
    <row r="235" ht="15.75" customHeight="1">
      <c r="B235" s="1"/>
      <c r="D235" s="19"/>
      <c r="E235" s="18"/>
      <c r="F235" s="19"/>
    </row>
    <row r="236" ht="15.75" customHeight="1">
      <c r="B236" s="1"/>
      <c r="D236" s="19"/>
      <c r="E236" s="18"/>
      <c r="F236" s="19"/>
    </row>
    <row r="237" ht="15.75" customHeight="1">
      <c r="B237" s="1"/>
      <c r="D237" s="19"/>
      <c r="E237" s="18"/>
      <c r="F237" s="19"/>
    </row>
    <row r="238" ht="15.75" customHeight="1">
      <c r="B238" s="1"/>
      <c r="D238" s="19"/>
      <c r="E238" s="18"/>
      <c r="F238" s="19"/>
    </row>
    <row r="239" ht="15.75" customHeight="1">
      <c r="B239" s="1"/>
      <c r="D239" s="19"/>
      <c r="E239" s="18"/>
      <c r="F239" s="19"/>
    </row>
    <row r="240" ht="15.75" customHeight="1">
      <c r="B240" s="1"/>
      <c r="D240" s="19"/>
      <c r="E240" s="18"/>
      <c r="F240" s="19"/>
    </row>
    <row r="241" ht="15.75" customHeight="1">
      <c r="B241" s="1"/>
      <c r="D241" s="19"/>
      <c r="E241" s="18"/>
      <c r="F241" s="19"/>
    </row>
    <row r="242" ht="15.75" customHeight="1">
      <c r="B242" s="1"/>
      <c r="D242" s="19"/>
      <c r="E242" s="18"/>
      <c r="F242" s="19"/>
    </row>
    <row r="243" ht="15.75" customHeight="1">
      <c r="B243" s="1"/>
      <c r="D243" s="19"/>
      <c r="E243" s="18"/>
      <c r="F243" s="19"/>
    </row>
    <row r="244" ht="15.75" customHeight="1">
      <c r="B244" s="1"/>
      <c r="D244" s="19"/>
      <c r="E244" s="18"/>
      <c r="F244" s="19"/>
    </row>
    <row r="245" ht="15.75" customHeight="1">
      <c r="B245" s="1"/>
      <c r="D245" s="19"/>
      <c r="E245" s="18"/>
      <c r="F245" s="19"/>
    </row>
    <row r="246" ht="15.75" customHeight="1">
      <c r="B246" s="1"/>
      <c r="D246" s="19"/>
      <c r="E246" s="18"/>
      <c r="F246" s="19"/>
    </row>
    <row r="247" ht="15.75" customHeight="1">
      <c r="B247" s="1"/>
      <c r="D247" s="19"/>
      <c r="E247" s="18"/>
      <c r="F247" s="19"/>
    </row>
    <row r="248" ht="15.75" customHeight="1">
      <c r="B248" s="1"/>
      <c r="D248" s="19"/>
      <c r="E248" s="18"/>
      <c r="F248" s="19"/>
    </row>
    <row r="249" ht="15.75" customHeight="1">
      <c r="B249" s="1"/>
      <c r="D249" s="19"/>
      <c r="E249" s="18"/>
      <c r="F249" s="19"/>
    </row>
    <row r="250" ht="15.75" customHeight="1">
      <c r="B250" s="1"/>
      <c r="D250" s="19"/>
      <c r="E250" s="18"/>
      <c r="F250" s="19"/>
    </row>
    <row r="251" ht="15.75" customHeight="1">
      <c r="B251" s="1"/>
      <c r="D251" s="19"/>
      <c r="E251" s="18"/>
      <c r="F251" s="19"/>
    </row>
    <row r="252" ht="15.75" customHeight="1">
      <c r="B252" s="1"/>
      <c r="D252" s="19"/>
      <c r="E252" s="18"/>
      <c r="F252" s="19"/>
    </row>
    <row r="253" ht="15.75" customHeight="1">
      <c r="B253" s="1"/>
      <c r="D253" s="19"/>
      <c r="E253" s="18"/>
      <c r="F253" s="19"/>
    </row>
    <row r="254" ht="15.75" customHeight="1">
      <c r="B254" s="1"/>
      <c r="D254" s="19"/>
      <c r="E254" s="18"/>
      <c r="F254" s="19"/>
    </row>
    <row r="255" ht="15.75" customHeight="1">
      <c r="B255" s="1"/>
      <c r="D255" s="19"/>
      <c r="E255" s="18"/>
      <c r="F255" s="19"/>
    </row>
    <row r="256" ht="15.75" customHeight="1">
      <c r="B256" s="1"/>
      <c r="D256" s="19"/>
      <c r="E256" s="18"/>
      <c r="F256" s="19"/>
    </row>
    <row r="257" ht="15.75" customHeight="1">
      <c r="B257" s="1"/>
      <c r="D257" s="19"/>
      <c r="E257" s="18"/>
      <c r="F257" s="19"/>
    </row>
    <row r="258" ht="15.75" customHeight="1">
      <c r="B258" s="1"/>
      <c r="D258" s="19"/>
      <c r="E258" s="18"/>
      <c r="F258" s="19"/>
    </row>
    <row r="259" ht="15.75" customHeight="1">
      <c r="B259" s="1"/>
      <c r="D259" s="19"/>
      <c r="E259" s="18"/>
      <c r="F259" s="19"/>
    </row>
    <row r="260" ht="15.75" customHeight="1">
      <c r="B260" s="1"/>
      <c r="D260" s="19"/>
      <c r="E260" s="18"/>
      <c r="F260" s="19"/>
    </row>
    <row r="261" ht="15.75" customHeight="1">
      <c r="B261" s="1"/>
      <c r="D261" s="19"/>
      <c r="E261" s="18"/>
      <c r="F261" s="19"/>
    </row>
    <row r="262" ht="15.75" customHeight="1">
      <c r="B262" s="1"/>
      <c r="D262" s="19"/>
      <c r="E262" s="18"/>
      <c r="F262" s="19"/>
    </row>
    <row r="263" ht="15.75" customHeight="1">
      <c r="B263" s="1"/>
      <c r="D263" s="19"/>
      <c r="E263" s="18"/>
      <c r="F263" s="19"/>
    </row>
    <row r="264" ht="15.75" customHeight="1">
      <c r="B264" s="1"/>
      <c r="D264" s="19"/>
      <c r="E264" s="18"/>
      <c r="F264" s="19"/>
    </row>
    <row r="265" ht="15.75" customHeight="1">
      <c r="B265" s="1"/>
      <c r="D265" s="19"/>
      <c r="E265" s="18"/>
      <c r="F265" s="19"/>
    </row>
    <row r="266" ht="15.75" customHeight="1">
      <c r="B266" s="1"/>
      <c r="D266" s="19"/>
      <c r="E266" s="18"/>
      <c r="F266" s="19"/>
    </row>
    <row r="267" ht="15.75" customHeight="1">
      <c r="B267" s="1"/>
      <c r="D267" s="19"/>
      <c r="E267" s="18"/>
      <c r="F267" s="19"/>
    </row>
    <row r="268" ht="15.75" customHeight="1">
      <c r="B268" s="1"/>
      <c r="D268" s="19"/>
      <c r="E268" s="18"/>
      <c r="F268" s="19"/>
    </row>
    <row r="269" ht="15.75" customHeight="1">
      <c r="B269" s="1"/>
      <c r="D269" s="19"/>
      <c r="E269" s="18"/>
      <c r="F269" s="19"/>
    </row>
    <row r="270" ht="15.75" customHeight="1">
      <c r="B270" s="1"/>
      <c r="D270" s="19"/>
      <c r="E270" s="18"/>
      <c r="F270" s="19"/>
    </row>
    <row r="271" ht="15.75" customHeight="1">
      <c r="B271" s="1"/>
      <c r="D271" s="19"/>
      <c r="E271" s="18"/>
      <c r="F271" s="19"/>
    </row>
    <row r="272" ht="15.75" customHeight="1">
      <c r="B272" s="1"/>
      <c r="D272" s="19"/>
      <c r="E272" s="18"/>
      <c r="F272" s="19"/>
    </row>
    <row r="273" ht="15.75" customHeight="1">
      <c r="B273" s="1"/>
      <c r="D273" s="19"/>
      <c r="E273" s="18"/>
      <c r="F273" s="19"/>
    </row>
    <row r="274" ht="15.75" customHeight="1">
      <c r="B274" s="1"/>
      <c r="D274" s="19"/>
      <c r="E274" s="18"/>
      <c r="F274" s="19"/>
    </row>
    <row r="275" ht="15.75" customHeight="1">
      <c r="B275" s="1"/>
      <c r="D275" s="19"/>
      <c r="E275" s="18"/>
      <c r="F275" s="19"/>
    </row>
    <row r="276" ht="15.75" customHeight="1">
      <c r="B276" s="1"/>
      <c r="D276" s="19"/>
      <c r="E276" s="18"/>
      <c r="F276" s="19"/>
    </row>
    <row r="277" ht="15.75" customHeight="1">
      <c r="B277" s="1"/>
      <c r="D277" s="19"/>
      <c r="E277" s="18"/>
      <c r="F277" s="19"/>
    </row>
    <row r="278" ht="15.75" customHeight="1">
      <c r="B278" s="1"/>
      <c r="D278" s="19"/>
      <c r="E278" s="18"/>
      <c r="F278" s="19"/>
    </row>
    <row r="279" ht="15.75" customHeight="1">
      <c r="B279" s="1"/>
      <c r="D279" s="19"/>
      <c r="E279" s="18"/>
      <c r="F279" s="19"/>
    </row>
    <row r="280" ht="15.75" customHeight="1">
      <c r="B280" s="1"/>
      <c r="D280" s="19"/>
      <c r="E280" s="18"/>
      <c r="F280" s="19"/>
    </row>
    <row r="281" ht="15.75" customHeight="1">
      <c r="B281" s="1"/>
      <c r="D281" s="19"/>
      <c r="E281" s="18"/>
      <c r="F281" s="19"/>
    </row>
    <row r="282" ht="15.75" customHeight="1">
      <c r="B282" s="1"/>
      <c r="D282" s="19"/>
      <c r="E282" s="18"/>
      <c r="F282" s="19"/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